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RDS-Cache Metrics" sheetId="2" r:id="rId2"/>
    <sheet name="ECS" sheetId="3" r:id="rId3"/>
    <sheet name="RDS" sheetId="4" r:id="rId4"/>
    <sheet name="Cache" sheetId="5" r:id="rId5"/>
  </sheets>
  <calcPr calcId="124519" fullCalcOnLoad="1"/>
</workbook>
</file>

<file path=xl/sharedStrings.xml><?xml version="1.0" encoding="utf-8"?>
<sst xmlns="http://schemas.openxmlformats.org/spreadsheetml/2006/main" count="5078" uniqueCount="492">
  <si>
    <t>A+ CLOUD RESOURCES EXECUTIVE DASHBOARD</t>
  </si>
  <si>
    <t>Report Date: 12/02/2025</t>
  </si>
  <si>
    <t>🔷 ECS RESOURCE OVERVIEW</t>
  </si>
  <si>
    <t>Platform</t>
  </si>
  <si>
    <t>DAAS</t>
  </si>
  <si>
    <t>PAAS</t>
  </si>
  <si>
    <t>SAAS</t>
  </si>
  <si>
    <t>OTHER</t>
  </si>
  <si>
    <t>📊 ECS TOTAL</t>
  </si>
  <si>
    <t>🔷 RDS RESOURCE OVERVIEW</t>
  </si>
  <si>
    <t>📊 RDS TOTAL</t>
  </si>
  <si>
    <t>🔷 Cache RESOURCE OVERVIEW</t>
  </si>
  <si>
    <t>📊 Cache TOTAL</t>
  </si>
  <si>
    <t>Total Deployments</t>
  </si>
  <si>
    <t>📍 212</t>
  </si>
  <si>
    <t>📍 68</t>
  </si>
  <si>
    <t>📍 38</t>
  </si>
  <si>
    <t>CPU MAX/P95</t>
  </si>
  <si>
    <t>Green 0-75%</t>
  </si>
  <si>
    <t>3 (100.0%)</t>
  </si>
  <si>
    <t>79 (100.0%)</t>
  </si>
  <si>
    <t>106 (99.1%)</t>
  </si>
  <si>
    <t>23 (100.0%)</t>
  </si>
  <si>
    <t>0 (0%)</t>
  </si>
  <si>
    <t>68 (100.0%)</t>
  </si>
  <si>
    <t>30 (96.8%)</t>
  </si>
  <si>
    <t>7 (100.0%)</t>
  </si>
  <si>
    <t>Amber 75-89%</t>
  </si>
  <si>
    <t>0 (0.0%)</t>
  </si>
  <si>
    <t>1 (0.9%)</t>
  </si>
  <si>
    <t>1 (3.2%)</t>
  </si>
  <si>
    <t>Red 90-100%</t>
  </si>
  <si>
    <t>MEM MAX/P95</t>
  </si>
  <si>
    <t>40 (50.6%)</t>
  </si>
  <si>
    <t>97 (90.7%)</t>
  </si>
  <si>
    <t>22 (95.7%)</t>
  </si>
  <si>
    <t>67 (98.5%)</t>
  </si>
  <si>
    <t>31 (100.0%)</t>
  </si>
  <si>
    <t>23 (29.1%)</t>
  </si>
  <si>
    <t>10 (9.3%)</t>
  </si>
  <si>
    <t>1 (4.3%)</t>
  </si>
  <si>
    <t>13 (16.5%)</t>
  </si>
  <si>
    <t>1 (1.5%)</t>
  </si>
  <si>
    <t>DISK USAGE/P95</t>
  </si>
  <si>
    <t>58 (73.4%)</t>
  </si>
  <si>
    <t>91 (85.0%)</t>
  </si>
  <si>
    <t>21 (91.3%)</t>
  </si>
  <si>
    <t>65 (95.6%)</t>
  </si>
  <si>
    <t>N/A</t>
  </si>
  <si>
    <t>14 (17.7%)</t>
  </si>
  <si>
    <t>13 (12.1%)</t>
  </si>
  <si>
    <t>7 (8.9%)</t>
  </si>
  <si>
    <t>2 (1.9%)</t>
  </si>
  <si>
    <t>Resource</t>
  </si>
  <si>
    <t>Metric</t>
  </si>
  <si>
    <t>Value</t>
  </si>
  <si>
    <t>RDS</t>
  </si>
  <si>
    <t>Cache</t>
  </si>
  <si>
    <t>Total Instances</t>
  </si>
  <si>
    <t>RDS CPU/P95</t>
  </si>
  <si>
    <t>RDS Mem/P95</t>
  </si>
  <si>
    <t>RDS Disk Util/P95</t>
  </si>
  <si>
    <t>Cache CPU/P95</t>
  </si>
  <si>
    <t>Cache Mem/P95</t>
  </si>
  <si>
    <t>RDS &amp; CACHE AGGREGATED METRICS</t>
  </si>
  <si>
    <t>Application Baseline</t>
  </si>
  <si>
    <t>Critical</t>
  </si>
  <si>
    <t>Zone A Instance #</t>
  </si>
  <si>
    <t>Zone B Instance #</t>
  </si>
  <si>
    <t>Application CPU/P95</t>
  </si>
  <si>
    <t>Application Mem/P95</t>
  </si>
  <si>
    <t>Application Disk Util/P95</t>
  </si>
  <si>
    <t>environment</t>
  </si>
  <si>
    <t>environment_group</t>
  </si>
  <si>
    <t>tribe</t>
  </si>
  <si>
    <t>squad</t>
  </si>
  <si>
    <t>platform</t>
  </si>
  <si>
    <t>alerting</t>
  </si>
  <si>
    <t>datetime</t>
  </si>
  <si>
    <t>Platform_Category</t>
  </si>
  <si>
    <t>TEST-ECS</t>
  </si>
  <si>
    <t>Xflush</t>
  </si>
  <si>
    <t>aceventcenter</t>
  </si>
  <si>
    <t>aciamcore</t>
  </si>
  <si>
    <t>acvip</t>
  </si>
  <si>
    <t>afda</t>
  </si>
  <si>
    <t>ake</t>
  </si>
  <si>
    <t>aliyun_ake_master</t>
  </si>
  <si>
    <t>antc</t>
  </si>
  <si>
    <t>antmonitor</t>
  </si>
  <si>
    <t>antschedulerconsole</t>
  </si>
  <si>
    <t>antstack_secprod</t>
  </si>
  <si>
    <t>antx</t>
  </si>
  <si>
    <t>antxzops</t>
  </si>
  <si>
    <t>apacquirecore</t>
  </si>
  <si>
    <t>apacquireprod</t>
  </si>
  <si>
    <t>apassets</t>
  </si>
  <si>
    <t>apbizprod</t>
  </si>
  <si>
    <t>apcashier</t>
  </si>
  <si>
    <t>apdcommservice</t>
  </si>
  <si>
    <t>apdecision</t>
  </si>
  <si>
    <t>apfintrmbffweb</t>
  </si>
  <si>
    <t>apfundcenter</t>
  </si>
  <si>
    <t>apfundprod</t>
  </si>
  <si>
    <t>apgauss</t>
  </si>
  <si>
    <t>apgaussadmin</t>
  </si>
  <si>
    <t>aphome</t>
  </si>
  <si>
    <t>apintegration</t>
  </si>
  <si>
    <t>apmobileappng</t>
  </si>
  <si>
    <t>apmobileprod</t>
  </si>
  <si>
    <t>apmobilewallet</t>
  </si>
  <si>
    <t>apmonitor</t>
  </si>
  <si>
    <t>apmonitorcore</t>
  </si>
  <si>
    <t>apopscompose</t>
  </si>
  <si>
    <t>app</t>
  </si>
  <si>
    <t>app010072040184.sgp1a</t>
  </si>
  <si>
    <t>app010072040185.sgp1a</t>
  </si>
  <si>
    <t>appaymentmng</t>
  </si>
  <si>
    <t>approdcenter</t>
  </si>
  <si>
    <t>appromocore</t>
  </si>
  <si>
    <t>appromotion</t>
  </si>
  <si>
    <t>apsettlement</t>
  </si>
  <si>
    <t>aptrafficcenter</t>
  </si>
  <si>
    <t>apzfundcheck</t>
  </si>
  <si>
    <t>bigdatatest-yunyou</t>
  </si>
  <si>
    <t>ceresdb</t>
  </si>
  <si>
    <t>cicadaruntime</t>
  </si>
  <si>
    <t>coodps</t>
  </si>
  <si>
    <t>crm</t>
  </si>
  <si>
    <t>datadog</t>
  </si>
  <si>
    <t>datago_zbdm</t>
  </si>
  <si>
    <t>dbops</t>
  </si>
  <si>
    <t>dds-ph-sofaboot-centos</t>
  </si>
  <si>
    <t>dmeta</t>
  </si>
  <si>
    <t>dockerd</t>
  </si>
  <si>
    <t>donenode</t>
  </si>
  <si>
    <t>doppler</t>
  </si>
  <si>
    <t>dsaas</t>
  </si>
  <si>
    <t>dsg</t>
  </si>
  <si>
    <t>dsoc-ph-sofaboot-centos</t>
  </si>
  <si>
    <t>dtapconsole</t>
  </si>
  <si>
    <t>explorer</t>
  </si>
  <si>
    <t>ezlogin</t>
  </si>
  <si>
    <t>gcashnonprod.appecs.32C64G010072040208.sgp1a</t>
  </si>
  <si>
    <t>gcashnonprod.appecs.32C64G010072040209.sgp1a</t>
  </si>
  <si>
    <t>gcashnonprod.appecs.32c126g010072040210.sgp1a</t>
  </si>
  <si>
    <t>gcashnonprod.appecs.32c126g010072040211.sgp1a</t>
  </si>
  <si>
    <t>gcashprod.appecs.32c64g010075066059.sgp1a</t>
  </si>
  <si>
    <t>gcashprod.appecs.32c64g010075067023.sgp1a</t>
  </si>
  <si>
    <t>gcashprod.appecs.4c8g</t>
  </si>
  <si>
    <t>gcashprod.appecs.4c8g010075067022.sgp1a</t>
  </si>
  <si>
    <t>gcashprod.appecs.4c8g010075067024.sgp1a</t>
  </si>
  <si>
    <t>gcashprod.appecs.4c8g010075084092.sgp1b</t>
  </si>
  <si>
    <t>gcb2bmgmt</t>
  </si>
  <si>
    <t>gcbalance</t>
  </si>
  <si>
    <t>gcbatch</t>
  </si>
  <si>
    <t>gcbizadmin</t>
  </si>
  <si>
    <t>gccommon</t>
  </si>
  <si>
    <t>gccrm</t>
  </si>
  <si>
    <t>gccrmmng</t>
  </si>
  <si>
    <t>gcerm</t>
  </si>
  <si>
    <t>gcevent</t>
  </si>
  <si>
    <t>gcfinops</t>
  </si>
  <si>
    <t>gcfs</t>
  </si>
  <si>
    <t>gcfund</t>
  </si>
  <si>
    <t>gchistorycore</t>
  </si>
  <si>
    <t>gclink</t>
  </si>
  <si>
    <t>gcpayment</t>
  </si>
  <si>
    <t>gcpromotion</t>
  </si>
  <si>
    <t>gcrouter</t>
  </si>
  <si>
    <t>gctraining</t>
  </si>
  <si>
    <t>gctransfer</t>
  </si>
  <si>
    <t>gcuser</t>
  </si>
  <si>
    <t>gcvmp</t>
  </si>
  <si>
    <t>gcwallet</t>
  </si>
  <si>
    <t>gczconnect</t>
  </si>
  <si>
    <t>gfcprocess</t>
  </si>
  <si>
    <t>hawkeye</t>
  </si>
  <si>
    <t>ialphasecmng</t>
  </si>
  <si>
    <t>ifcaccenter</t>
  </si>
  <si>
    <t>ifcassetflux</t>
  </si>
  <si>
    <t>ifcbuservice</t>
  </si>
  <si>
    <t>ifccardcenter</t>
  </si>
  <si>
    <t>ifccfmng</t>
  </si>
  <si>
    <t>ifccfpcenter</t>
  </si>
  <si>
    <t>ifccomparacenter</t>
  </si>
  <si>
    <t>ifccustcenter</t>
  </si>
  <si>
    <t>ifccustmng</t>
  </si>
  <si>
    <t>ifcdart</t>
  </si>
  <si>
    <t>ifcdatabus</t>
  </si>
  <si>
    <t>ifcdebittrans</t>
  </si>
  <si>
    <t>ifcfeecharge</t>
  </si>
  <si>
    <t>ifcfluxbatch</t>
  </si>
  <si>
    <t>ifcfluxconf</t>
  </si>
  <si>
    <t>ifcfluxnet</t>
  </si>
  <si>
    <t>ifcfluxworks</t>
  </si>
  <si>
    <t>ifcgotone</t>
  </si>
  <si>
    <t>ifcinnertrans</t>
  </si>
  <si>
    <t>ifclimitcenter</t>
  </si>
  <si>
    <t>ifcprocess</t>
  </si>
  <si>
    <t>ifcprodmng</t>
  </si>
  <si>
    <t>ifcrecon</t>
  </si>
  <si>
    <t>ifcriskcloud</t>
  </si>
  <si>
    <t>ifcriskmatrix</t>
  </si>
  <si>
    <t>ifcrisksimulate</t>
  </si>
  <si>
    <t>ifcsupergw</t>
  </si>
  <si>
    <t>ifcvouchercore</t>
  </si>
  <si>
    <t>igrowth</t>
  </si>
  <si>
    <t>inspect_paas</t>
  </si>
  <si>
    <t>isdchecklite</t>
  </si>
  <si>
    <t>izt4n6fb3dmqm45sbb67dmz</t>
  </si>
  <si>
    <t>jump</t>
  </si>
  <si>
    <t>jumpserver</t>
  </si>
  <si>
    <t>launch_advisor</t>
  </si>
  <si>
    <t>lmacis</t>
  </si>
  <si>
    <t>looking_glass</t>
  </si>
  <si>
    <t>looking_glass_web</t>
  </si>
  <si>
    <t>master_node</t>
  </si>
  <si>
    <t>mpaas_mappcenter</t>
  </si>
  <si>
    <t>mpaas_masweb</t>
  </si>
  <si>
    <t>mpaas_mcometgw</t>
  </si>
  <si>
    <t>mpaas_mdap</t>
  </si>
  <si>
    <t>mpaas_mesdb</t>
  </si>
  <si>
    <t>mpaas_msync</t>
  </si>
  <si>
    <t>mpaas_zk</t>
  </si>
  <si>
    <t>mpaaschannel</t>
  </si>
  <si>
    <t>mpaasgw</t>
  </si>
  <si>
    <t>network_monitor</t>
  </si>
  <si>
    <t>oceanbase</t>
  </si>
  <si>
    <t>onex</t>
  </si>
  <si>
    <t>paas</t>
  </si>
  <si>
    <t>paas_3_0</t>
  </si>
  <si>
    <t>paas_aprescue</t>
  </si>
  <si>
    <t>paas_new_tool</t>
  </si>
  <si>
    <t>paasmonitor</t>
  </si>
  <si>
    <t>partnerreport</t>
  </si>
  <si>
    <t>phib</t>
  </si>
  <si>
    <t>phib_acopm</t>
  </si>
  <si>
    <t>phib_apconsole</t>
  </si>
  <si>
    <t>phib_appcompose</t>
  </si>
  <si>
    <t>phib_basic</t>
  </si>
  <si>
    <t>phib_deps</t>
  </si>
  <si>
    <t>phib_event</t>
  </si>
  <si>
    <t>phib_filx</t>
  </si>
  <si>
    <t>phib_gotone</t>
  </si>
  <si>
    <t>phib_iam</t>
  </si>
  <si>
    <t>phib_job</t>
  </si>
  <si>
    <t>phib_kmi</t>
  </si>
  <si>
    <t>phib_mw</t>
  </si>
  <si>
    <t>phib_mw_dbp</t>
  </si>
  <si>
    <t>phib_op</t>
  </si>
  <si>
    <t>phib_openapi</t>
  </si>
  <si>
    <t>phib_opp</t>
  </si>
  <si>
    <t>phib_opscompose</t>
  </si>
  <si>
    <t>phib_paasportal</t>
  </si>
  <si>
    <t>phib_param</t>
  </si>
  <si>
    <t>phib_recovery</t>
  </si>
  <si>
    <t>phib_registry</t>
  </si>
  <si>
    <t>phib_staragent</t>
  </si>
  <si>
    <t>phib_ula</t>
  </si>
  <si>
    <t>phib_xcs</t>
  </si>
  <si>
    <t>phib_zk</t>
  </si>
  <si>
    <t>phib_zseach</t>
  </si>
  <si>
    <t>prodproxy</t>
  </si>
  <si>
    <t>saas-centos-6.</t>
  </si>
  <si>
    <t>sftp</t>
  </si>
  <si>
    <t>sgsgpnaypubmp02</t>
  </si>
  <si>
    <t>sgsgpnaypubmp02_acapicore</t>
  </si>
  <si>
    <t>sgsgpnaypubmp02_acapigw</t>
  </si>
  <si>
    <t>sgsgpnaypubmp02_xflush_user</t>
  </si>
  <si>
    <t>shared-middleware</t>
  </si>
  <si>
    <t>shared-middleware-advance</t>
  </si>
  <si>
    <t>shared_middleware</t>
  </si>
  <si>
    <t>shared_middleware_advance</t>
  </si>
  <si>
    <t>smile_to_pay</t>
  </si>
  <si>
    <t>splunk_hf_alicloud</t>
  </si>
  <si>
    <t>splunk_proxy</t>
  </si>
  <si>
    <t>syslog_analysis</t>
  </si>
  <si>
    <t>test</t>
  </si>
  <si>
    <t>timeoutcenter</t>
  </si>
  <si>
    <t>user-relation</t>
  </si>
  <si>
    <t>vpc</t>
  </si>
  <si>
    <t>xflush</t>
  </si>
  <si>
    <t>xflush_user</t>
  </si>
  <si>
    <t>yarn</t>
  </si>
  <si>
    <t>yunyou</t>
  </si>
  <si>
    <t>yxtestwithdatadisk</t>
  </si>
  <si>
    <t>zhub-ph-centos</t>
  </si>
  <si>
    <t>zhub-preprod</t>
  </si>
  <si>
    <t>zoloz</t>
  </si>
  <si>
    <t>zsearch</t>
  </si>
  <si>
    <t>zsearch_ph</t>
  </si>
  <si>
    <t>Critical-app</t>
  </si>
  <si>
    <t>production</t>
  </si>
  <si>
    <t>prod</t>
  </si>
  <si>
    <t>nonprod</t>
  </si>
  <si>
    <t>shared</t>
  </si>
  <si>
    <t>data</t>
  </si>
  <si>
    <t>technology</t>
  </si>
  <si>
    <t>b2c</t>
  </si>
  <si>
    <t>customer_and_integration</t>
  </si>
  <si>
    <t>funds</t>
  </si>
  <si>
    <t>enterprise_svcs</t>
  </si>
  <si>
    <t>new_biz</t>
  </si>
  <si>
    <t>b2b</t>
  </si>
  <si>
    <t>trust_and_security</t>
  </si>
  <si>
    <t>grc</t>
  </si>
  <si>
    <t>shared_telemetry_ops</t>
  </si>
  <si>
    <t>data_mgt_operations</t>
  </si>
  <si>
    <t>tech_ktlo</t>
  </si>
  <si>
    <t>it_operations</t>
  </si>
  <si>
    <t>bills_pay</t>
  </si>
  <si>
    <t>account_mgt</t>
  </si>
  <si>
    <t>funds_ktlo</t>
  </si>
  <si>
    <t>es_ktlo</t>
  </si>
  <si>
    <t>asap</t>
  </si>
  <si>
    <t>p2p_and_padala</t>
  </si>
  <si>
    <t>adtech</t>
  </si>
  <si>
    <t>online_webpay</t>
  </si>
  <si>
    <t>b2b_ktlo</t>
  </si>
  <si>
    <t>voucher_and_promo_solutions</t>
  </si>
  <si>
    <t>trust_and_security_ktlo</t>
  </si>
  <si>
    <t>merchant_wallet</t>
  </si>
  <si>
    <t>bank_transfer</t>
  </si>
  <si>
    <t>cxm</t>
  </si>
  <si>
    <t>ginsure</t>
  </si>
  <si>
    <t>wallet_operations</t>
  </si>
  <si>
    <t>finance_transform</t>
  </si>
  <si>
    <t>new_biz_ktlo</t>
  </si>
  <si>
    <t>customer_and_integration_ktlo</t>
  </si>
  <si>
    <t>adtech_innovations</t>
  </si>
  <si>
    <t>merchant_onboard</t>
  </si>
  <si>
    <t>grc_ktlo</t>
  </si>
  <si>
    <t>enterprise_risk</t>
  </si>
  <si>
    <t>frontend_security</t>
  </si>
  <si>
    <t>mini_program</t>
  </si>
  <si>
    <t>enterprise_architecture</t>
  </si>
  <si>
    <t>payment_innov</t>
  </si>
  <si>
    <t>kyc_operations</t>
  </si>
  <si>
    <t>daas</t>
  </si>
  <si>
    <t>saas</t>
  </si>
  <si>
    <t>capops1</t>
  </si>
  <si>
    <t>capops3</t>
  </si>
  <si>
    <t>capops2</t>
  </si>
  <si>
    <t>2025-12-01</t>
  </si>
  <si>
    <t>ECS APPLICATION UTILIZATION SUMMARY</t>
  </si>
  <si>
    <t>Identifier_Name</t>
  </si>
  <si>
    <t>Instance_Class</t>
  </si>
  <si>
    <t>vCPUs</t>
  </si>
  <si>
    <t>Memory_GB</t>
  </si>
  <si>
    <t>Engine</t>
  </si>
  <si>
    <t>Max_supported_connections</t>
  </si>
  <si>
    <t>RDS_Max_CPU_Util</t>
  </si>
  <si>
    <t>RDS_P95_CPU</t>
  </si>
  <si>
    <t>RDS_Max_Mem_Util</t>
  </si>
  <si>
    <t>RDS_P95_Mem</t>
  </si>
  <si>
    <t>RDS_DISK_Usage</t>
  </si>
  <si>
    <t>rm-gs589wipl23r7jp7k</t>
  </si>
  <si>
    <t>rm-gs5ah5zhy77gh05gm</t>
  </si>
  <si>
    <t>rm-gs5sw7hv1crr00985</t>
  </si>
  <si>
    <t>rm-gs5n731p71znm655c</t>
  </si>
  <si>
    <t>rm-gs5i80r7i6a20n410</t>
  </si>
  <si>
    <t>rm-gs5qyh0m44m5b63j0</t>
  </si>
  <si>
    <t>rm-gs5z05aq6xydz8u2m</t>
  </si>
  <si>
    <t>rm-gs574afzpl9642syo</t>
  </si>
  <si>
    <t>rm-gs565d832209271j8</t>
  </si>
  <si>
    <t>rm-gs5667gt3a974ryvn</t>
  </si>
  <si>
    <t>rm-gs58d2c17zgp5zpcj</t>
  </si>
  <si>
    <t>rm-gs51d659e8409k85c</t>
  </si>
  <si>
    <t>pgm-gs554p60u21k460e</t>
  </si>
  <si>
    <t>rm-gs5y0201en34199i6</t>
  </si>
  <si>
    <t>rm-gs54844t8w58tvze0</t>
  </si>
  <si>
    <t>rm-gs528ne8v6l23f86a</t>
  </si>
  <si>
    <t>rm-gs550gvc579xqnk70</t>
  </si>
  <si>
    <t>rm-gs55of74p9i1nk901</t>
  </si>
  <si>
    <t>rm-gs54dndl4199u29fg</t>
  </si>
  <si>
    <t>rm-gs5z9gunji3x4318a</t>
  </si>
  <si>
    <t>rm-gs58z9058x73kv0za</t>
  </si>
  <si>
    <t>rm-gs54181108nhe6658</t>
  </si>
  <si>
    <t>rm-gs5f62v04u634q5vo</t>
  </si>
  <si>
    <t>rm-gs55r0765hx647kbt</t>
  </si>
  <si>
    <t>rm-gs53bs2w28y06l084</t>
  </si>
  <si>
    <t>rm-gs5g323fvwlkb9cep</t>
  </si>
  <si>
    <t>rm-gs5yn2w1upj18az68</t>
  </si>
  <si>
    <t>rm-gs5knxc9dr7tkejb2</t>
  </si>
  <si>
    <t>rm-gs57578q2008gb5kl</t>
  </si>
  <si>
    <t>rm-gs50d3j1v032wupd7</t>
  </si>
  <si>
    <t>rm-gs5u7zos3bv1aedq5</t>
  </si>
  <si>
    <t>rm-gs50k153ix6dr4100</t>
  </si>
  <si>
    <t>rm-gs55on0mcb7rka71p</t>
  </si>
  <si>
    <t>rm-gs58b3yd30496r8w8</t>
  </si>
  <si>
    <t>rm-gs5308q3xc9t8a959</t>
  </si>
  <si>
    <t>rm-gs5muo575tnzs3433</t>
  </si>
  <si>
    <t>rm-gs52k9q7987cf6v6d</t>
  </si>
  <si>
    <t>rm-gs5dg0l468mrish8c</t>
  </si>
  <si>
    <t>rm-gs5h3uptor2061u7o</t>
  </si>
  <si>
    <t>rm-gs56jl2t64xzj0dl9</t>
  </si>
  <si>
    <t>rm-gs55583h31g09rhy2</t>
  </si>
  <si>
    <t>rm-gs5wk19gk22p97qod</t>
  </si>
  <si>
    <t>rm-gs57et008r60744j3</t>
  </si>
  <si>
    <t>rm-gs5l020vcqy2yjdsy</t>
  </si>
  <si>
    <t>rm-gs59q7c87448at2m6</t>
  </si>
  <si>
    <t>rm-gs5bz4ag9fiq37539</t>
  </si>
  <si>
    <t>rm-gs57lm8xbuvbvoun5</t>
  </si>
  <si>
    <t>rm-gs54qkyx51o53tn2x</t>
  </si>
  <si>
    <t>rm-gs527bkox9k8c8dul</t>
  </si>
  <si>
    <t>rm-gs51265bkg83t298u</t>
  </si>
  <si>
    <t>rm-gs55845141951718l</t>
  </si>
  <si>
    <t>rm-gs53ye0t29xo72nb9</t>
  </si>
  <si>
    <t>rm-gs584j42r6n2q47l9</t>
  </si>
  <si>
    <t>rm-gs5y496p306g01b2h</t>
  </si>
  <si>
    <t>rm-gs5fp87y1029fpt1c</t>
  </si>
  <si>
    <t>rm-gs58u8429mzzsv5eb</t>
  </si>
  <si>
    <t>rm-gs5ioeb03c42xay58</t>
  </si>
  <si>
    <t>rm-gs5y73imufq0x9g0u</t>
  </si>
  <si>
    <t>rm-gs5wk865ezppq4o2l</t>
  </si>
  <si>
    <t>rm-gs54305u4rv46ds23</t>
  </si>
  <si>
    <t>rm-gs58h93nl63517964</t>
  </si>
  <si>
    <t>rm-gs53w3224646tpwy2</t>
  </si>
  <si>
    <t>rm-gs5n3f1h34874o395</t>
  </si>
  <si>
    <t>rm-gs52w625y4046t512</t>
  </si>
  <si>
    <t>rm-gs5e4szkz122y2by4</t>
  </si>
  <si>
    <t>rm-gs5xm18z4dfoi7i32</t>
  </si>
  <si>
    <t>rm-gs5j5372p08ixlx16</t>
  </si>
  <si>
    <t>rm-gs56gsxy736p1r035</t>
  </si>
  <si>
    <t>Primary</t>
  </si>
  <si>
    <t>mysql.n2.medium.1</t>
  </si>
  <si>
    <t>mysql.x8.medium.2</t>
  </si>
  <si>
    <t>rds.mysql.c2.xlarge</t>
  </si>
  <si>
    <t>rds.mysql.c1.large</t>
  </si>
  <si>
    <t>mysql.x2.large.2c</t>
  </si>
  <si>
    <t>mysql.x4.medium.2c</t>
  </si>
  <si>
    <t>rds.mysql.s3.large</t>
  </si>
  <si>
    <t>rds.mysql.s2.large</t>
  </si>
  <si>
    <t>rds.pg.s1.small</t>
  </si>
  <si>
    <t>rds.mysql.s2.xlarge</t>
  </si>
  <si>
    <t>rds.mysql.m1.medium</t>
  </si>
  <si>
    <t>rds.mysql.t1.small</t>
  </si>
  <si>
    <t>pg.x8.xlarge.2</t>
  </si>
  <si>
    <t>mysql.x8.large.2</t>
  </si>
  <si>
    <t>MySQL</t>
  </si>
  <si>
    <t>PostgreSQL</t>
  </si>
  <si>
    <t>RDS UTILIZATION DETAILS</t>
  </si>
  <si>
    <t>Instance_Type</t>
  </si>
  <si>
    <t>Memory_GiB</t>
  </si>
  <si>
    <t>Instance_Specs_Storage_GiB</t>
  </si>
  <si>
    <t>Max_Supported_Connections</t>
  </si>
  <si>
    <t>Max_Connections</t>
  </si>
  <si>
    <t>P95_Connections</t>
  </si>
  <si>
    <t>Cache_Max_CPU_Util</t>
  </si>
  <si>
    <t>Cache_P95_CPU_Util</t>
  </si>
  <si>
    <t>Cache_Max_Mem_Util</t>
  </si>
  <si>
    <t>Cache_P95_Mem_Util</t>
  </si>
  <si>
    <t>Environment</t>
  </si>
  <si>
    <t>savePaymethodMemCache</t>
  </si>
  <si>
    <t>aptrafficcenter-prod</t>
  </si>
  <si>
    <t>paymethodMemCache</t>
  </si>
  <si>
    <t>apdecision-prod</t>
  </si>
  <si>
    <t>gcfund_prod_velocity</t>
  </si>
  <si>
    <t>user-relation-cache</t>
  </si>
  <si>
    <t>ctuSimulateCache</t>
  </si>
  <si>
    <t>ctuRiskContextCacheShadowTest</t>
  </si>
  <si>
    <t>ifccustcenterBizCache</t>
  </si>
  <si>
    <t>mobileSessionCache</t>
  </si>
  <si>
    <t>acquireprodCommonCache</t>
  </si>
  <si>
    <t>gcfundCache</t>
  </si>
  <si>
    <t>communicationCommonCache</t>
  </si>
  <si>
    <t>ifccustcenterDalCache</t>
  </si>
  <si>
    <t>dataBusCache</t>
  </si>
  <si>
    <t>mobileCashierCache</t>
  </si>
  <si>
    <t>gmSessionCache</t>
  </si>
  <si>
    <t>paymentCashierCache</t>
  </si>
  <si>
    <t>apbizprodCommonCache</t>
  </si>
  <si>
    <t>bossProcessCache</t>
  </si>
  <si>
    <t>mpaas-yunpushcore-cache</t>
  </si>
  <si>
    <t>custVerificationCodeCache</t>
  </si>
  <si>
    <t>mpaas-msync-cache</t>
  </si>
  <si>
    <t>mobileCommonCache</t>
  </si>
  <si>
    <t>bossSessionCache-new</t>
  </si>
  <si>
    <t>custCardCenterCache</t>
  </si>
  <si>
    <t>mpaas-mappcenter-ocs</t>
  </si>
  <si>
    <t>productCommonCache</t>
  </si>
  <si>
    <t>fluxCommonCache</t>
  </si>
  <si>
    <t>ctuRiskContextCache-new</t>
  </si>
  <si>
    <t>ctuCommonCache-new</t>
  </si>
  <si>
    <t>common_slave_cache</t>
  </si>
  <si>
    <t>fluxGwCache</t>
  </si>
  <si>
    <t>fluxSensitiveCache</t>
  </si>
  <si>
    <t>bossCommonCache-new</t>
  </si>
  <si>
    <t>datashield-ocs</t>
  </si>
  <si>
    <t>Memcache</t>
  </si>
  <si>
    <t>CACHE UTILIZATION DETAILS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</si>
</sst>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0"/>
      <color rgb="FF38572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top" wrapText="1"/>
    </xf>
    <xf numFmtId="0" fontId="0" fillId="7" borderId="0" xfId="0" applyFill="1"/>
    <xf numFmtId="0" fontId="0" fillId="11" borderId="0" xfId="0" applyFill="1"/>
    <xf numFmtId="0" fontId="8" fillId="3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5" width="15.7109375" customWidth="1"/>
    <col min="6" max="6" width="3.7109375" customWidth="1"/>
    <col min="7" max="9" width="15.7109375" customWidth="1"/>
    <col min="10" max="10" width="3.7109375" customWidth="1"/>
    <col min="11" max="13" width="15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4" t="s">
        <v>3</v>
      </c>
      <c r="B5" s="4" t="s">
        <v>13</v>
      </c>
      <c r="C5" s="4" t="s">
        <v>17</v>
      </c>
      <c r="G5" s="4" t="s">
        <v>32</v>
      </c>
      <c r="K5" s="4" t="s">
        <v>43</v>
      </c>
    </row>
    <row r="6" spans="1:13">
      <c r="C6" s="5" t="s">
        <v>18</v>
      </c>
      <c r="D6" s="5" t="s">
        <v>27</v>
      </c>
      <c r="E6" s="5" t="s">
        <v>31</v>
      </c>
      <c r="G6" s="5" t="s">
        <v>18</v>
      </c>
      <c r="H6" s="5" t="s">
        <v>27</v>
      </c>
      <c r="I6" s="5" t="s">
        <v>31</v>
      </c>
      <c r="K6" s="5" t="s">
        <v>18</v>
      </c>
      <c r="L6" s="5" t="s">
        <v>27</v>
      </c>
      <c r="M6" s="5" t="s">
        <v>31</v>
      </c>
    </row>
    <row r="7" spans="1:13">
      <c r="A7" s="6" t="s">
        <v>4</v>
      </c>
      <c r="B7" s="6">
        <v>3</v>
      </c>
      <c r="C7" s="6" t="s">
        <v>19</v>
      </c>
      <c r="D7" s="6" t="s">
        <v>28</v>
      </c>
      <c r="E7" s="6" t="s">
        <v>28</v>
      </c>
      <c r="G7" s="6" t="s">
        <v>19</v>
      </c>
      <c r="H7" s="6" t="s">
        <v>28</v>
      </c>
      <c r="I7" s="6" t="s">
        <v>28</v>
      </c>
      <c r="K7" s="6" t="s">
        <v>19</v>
      </c>
      <c r="L7" s="6" t="s">
        <v>28</v>
      </c>
      <c r="M7" s="6" t="s">
        <v>28</v>
      </c>
    </row>
    <row r="8" spans="1:13">
      <c r="A8" s="7" t="s">
        <v>5</v>
      </c>
      <c r="B8" s="7">
        <v>79</v>
      </c>
      <c r="C8" s="7" t="s">
        <v>20</v>
      </c>
      <c r="D8" s="7" t="s">
        <v>28</v>
      </c>
      <c r="E8" s="7" t="s">
        <v>28</v>
      </c>
      <c r="G8" s="7" t="s">
        <v>33</v>
      </c>
      <c r="H8" s="7" t="s">
        <v>38</v>
      </c>
      <c r="I8" s="7" t="s">
        <v>41</v>
      </c>
      <c r="K8" s="7" t="s">
        <v>44</v>
      </c>
      <c r="L8" s="7" t="s">
        <v>49</v>
      </c>
      <c r="M8" s="7" t="s">
        <v>51</v>
      </c>
    </row>
    <row r="9" spans="1:13">
      <c r="A9" s="6" t="s">
        <v>6</v>
      </c>
      <c r="B9" s="6">
        <v>107</v>
      </c>
      <c r="C9" s="6" t="s">
        <v>21</v>
      </c>
      <c r="D9" s="6" t="s">
        <v>29</v>
      </c>
      <c r="E9" s="6" t="s">
        <v>28</v>
      </c>
      <c r="G9" s="6" t="s">
        <v>34</v>
      </c>
      <c r="H9" s="6" t="s">
        <v>39</v>
      </c>
      <c r="I9" s="6" t="s">
        <v>28</v>
      </c>
      <c r="K9" s="6" t="s">
        <v>45</v>
      </c>
      <c r="L9" s="6" t="s">
        <v>50</v>
      </c>
      <c r="M9" s="6" t="s">
        <v>52</v>
      </c>
    </row>
    <row r="10" spans="1:13">
      <c r="A10" s="7" t="s">
        <v>7</v>
      </c>
      <c r="B10" s="7">
        <v>23</v>
      </c>
      <c r="C10" s="7" t="s">
        <v>22</v>
      </c>
      <c r="D10" s="7" t="s">
        <v>28</v>
      </c>
      <c r="E10" s="7" t="s">
        <v>28</v>
      </c>
      <c r="G10" s="7" t="s">
        <v>35</v>
      </c>
      <c r="H10" s="7" t="s">
        <v>40</v>
      </c>
      <c r="I10" s="7" t="s">
        <v>28</v>
      </c>
      <c r="K10" s="7" t="s">
        <v>46</v>
      </c>
      <c r="L10" s="7" t="s">
        <v>40</v>
      </c>
      <c r="M10" s="7" t="s">
        <v>28</v>
      </c>
    </row>
    <row r="11" spans="1:13">
      <c r="A11" s="8" t="s">
        <v>8</v>
      </c>
      <c r="B11" s="8" t="s">
        <v>14</v>
      </c>
    </row>
    <row r="13" spans="1:13">
      <c r="A13" s="3" t="s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4" t="s">
        <v>3</v>
      </c>
      <c r="B14" s="4" t="s">
        <v>13</v>
      </c>
      <c r="C14" s="4" t="s">
        <v>17</v>
      </c>
      <c r="G14" s="4" t="s">
        <v>32</v>
      </c>
      <c r="K14" s="4" t="s">
        <v>43</v>
      </c>
    </row>
    <row r="15" spans="1:13">
      <c r="C15" s="5" t="s">
        <v>18</v>
      </c>
      <c r="D15" s="5" t="s">
        <v>27</v>
      </c>
      <c r="E15" s="5" t="s">
        <v>31</v>
      </c>
      <c r="G15" s="5" t="s">
        <v>18</v>
      </c>
      <c r="H15" s="5" t="s">
        <v>27</v>
      </c>
      <c r="I15" s="5" t="s">
        <v>31</v>
      </c>
      <c r="K15" s="5" t="s">
        <v>18</v>
      </c>
      <c r="L15" s="5" t="s">
        <v>27</v>
      </c>
      <c r="M15" s="5" t="s">
        <v>31</v>
      </c>
    </row>
    <row r="16" spans="1:13">
      <c r="A16" s="7" t="s">
        <v>4</v>
      </c>
      <c r="B16" s="7">
        <v>0</v>
      </c>
      <c r="C16" s="7" t="s">
        <v>23</v>
      </c>
      <c r="D16" s="7" t="s">
        <v>23</v>
      </c>
      <c r="E16" s="7" t="s">
        <v>23</v>
      </c>
      <c r="G16" s="7" t="s">
        <v>23</v>
      </c>
      <c r="H16" s="7" t="s">
        <v>23</v>
      </c>
      <c r="I16" s="7" t="s">
        <v>23</v>
      </c>
      <c r="K16" s="7" t="s">
        <v>23</v>
      </c>
      <c r="L16" s="7" t="s">
        <v>23</v>
      </c>
      <c r="M16" s="7" t="s">
        <v>23</v>
      </c>
    </row>
    <row r="17" spans="1:13">
      <c r="A17" s="6" t="s">
        <v>5</v>
      </c>
      <c r="B17" s="6">
        <v>0</v>
      </c>
      <c r="C17" s="6" t="s">
        <v>23</v>
      </c>
      <c r="D17" s="6" t="s">
        <v>23</v>
      </c>
      <c r="E17" s="6" t="s">
        <v>23</v>
      </c>
      <c r="G17" s="6" t="s">
        <v>23</v>
      </c>
      <c r="H17" s="6" t="s">
        <v>23</v>
      </c>
      <c r="I17" s="6" t="s">
        <v>23</v>
      </c>
      <c r="K17" s="6" t="s">
        <v>23</v>
      </c>
      <c r="L17" s="6" t="s">
        <v>23</v>
      </c>
      <c r="M17" s="6" t="s">
        <v>23</v>
      </c>
    </row>
    <row r="18" spans="1:13">
      <c r="A18" s="7" t="s">
        <v>6</v>
      </c>
      <c r="B18" s="7">
        <v>0</v>
      </c>
      <c r="C18" s="7" t="s">
        <v>23</v>
      </c>
      <c r="D18" s="7" t="s">
        <v>23</v>
      </c>
      <c r="E18" s="7" t="s">
        <v>23</v>
      </c>
      <c r="G18" s="7" t="s">
        <v>23</v>
      </c>
      <c r="H18" s="7" t="s">
        <v>23</v>
      </c>
      <c r="I18" s="7" t="s">
        <v>23</v>
      </c>
      <c r="K18" s="7" t="s">
        <v>23</v>
      </c>
      <c r="L18" s="7" t="s">
        <v>23</v>
      </c>
      <c r="M18" s="7" t="s">
        <v>23</v>
      </c>
    </row>
    <row r="19" spans="1:13">
      <c r="A19" s="6" t="s">
        <v>7</v>
      </c>
      <c r="B19" s="6">
        <v>68</v>
      </c>
      <c r="C19" s="6" t="s">
        <v>24</v>
      </c>
      <c r="D19" s="6" t="s">
        <v>28</v>
      </c>
      <c r="E19" s="6" t="s">
        <v>28</v>
      </c>
      <c r="G19" s="6" t="s">
        <v>36</v>
      </c>
      <c r="H19" s="6" t="s">
        <v>28</v>
      </c>
      <c r="I19" s="6" t="s">
        <v>42</v>
      </c>
      <c r="K19" s="6" t="s">
        <v>47</v>
      </c>
      <c r="L19" s="6" t="s">
        <v>42</v>
      </c>
      <c r="M19" s="6" t="s">
        <v>42</v>
      </c>
    </row>
    <row r="20" spans="1:13">
      <c r="A20" s="8" t="s">
        <v>10</v>
      </c>
      <c r="B20" s="8" t="s">
        <v>15</v>
      </c>
    </row>
    <row r="22" spans="1:13">
      <c r="A22" s="3" t="s">
        <v>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4" t="s">
        <v>3</v>
      </c>
      <c r="B23" s="4" t="s">
        <v>13</v>
      </c>
      <c r="C23" s="4" t="s">
        <v>17</v>
      </c>
      <c r="G23" s="4" t="s">
        <v>32</v>
      </c>
      <c r="K23" s="4" t="s">
        <v>43</v>
      </c>
    </row>
    <row r="24" spans="1:13">
      <c r="C24" s="5" t="s">
        <v>18</v>
      </c>
      <c r="D24" s="5" t="s">
        <v>27</v>
      </c>
      <c r="E24" s="5" t="s">
        <v>31</v>
      </c>
      <c r="G24" s="5" t="s">
        <v>18</v>
      </c>
      <c r="H24" s="5" t="s">
        <v>27</v>
      </c>
      <c r="I24" s="5" t="s">
        <v>31</v>
      </c>
      <c r="K24" s="5" t="s">
        <v>18</v>
      </c>
      <c r="L24" s="5" t="s">
        <v>27</v>
      </c>
      <c r="M24" s="5" t="s">
        <v>31</v>
      </c>
    </row>
    <row r="25" spans="1:13">
      <c r="A25" s="6" t="s">
        <v>4</v>
      </c>
      <c r="B25" s="6">
        <v>0</v>
      </c>
      <c r="C25" s="6" t="s">
        <v>23</v>
      </c>
      <c r="D25" s="6" t="s">
        <v>23</v>
      </c>
      <c r="E25" s="6" t="s">
        <v>23</v>
      </c>
      <c r="G25" s="6" t="s">
        <v>23</v>
      </c>
      <c r="H25" s="6" t="s">
        <v>23</v>
      </c>
      <c r="I25" s="6" t="s">
        <v>23</v>
      </c>
      <c r="K25" s="6" t="s">
        <v>48</v>
      </c>
      <c r="L25" s="6" t="s">
        <v>48</v>
      </c>
      <c r="M25" s="6" t="s">
        <v>48</v>
      </c>
    </row>
    <row r="26" spans="1:13">
      <c r="A26" s="7" t="s">
        <v>5</v>
      </c>
      <c r="B26" s="7">
        <v>0</v>
      </c>
      <c r="C26" s="7" t="s">
        <v>23</v>
      </c>
      <c r="D26" s="7" t="s">
        <v>23</v>
      </c>
      <c r="E26" s="7" t="s">
        <v>23</v>
      </c>
      <c r="G26" s="7" t="s">
        <v>23</v>
      </c>
      <c r="H26" s="7" t="s">
        <v>23</v>
      </c>
      <c r="I26" s="7" t="s">
        <v>23</v>
      </c>
      <c r="K26" s="7" t="s">
        <v>48</v>
      </c>
      <c r="L26" s="7" t="s">
        <v>48</v>
      </c>
      <c r="M26" s="7" t="s">
        <v>48</v>
      </c>
    </row>
    <row r="27" spans="1:13">
      <c r="A27" s="6" t="s">
        <v>6</v>
      </c>
      <c r="B27" s="6">
        <v>31</v>
      </c>
      <c r="C27" s="6" t="s">
        <v>25</v>
      </c>
      <c r="D27" s="6" t="s">
        <v>30</v>
      </c>
      <c r="E27" s="6" t="s">
        <v>28</v>
      </c>
      <c r="G27" s="6" t="s">
        <v>37</v>
      </c>
      <c r="H27" s="6" t="s">
        <v>28</v>
      </c>
      <c r="I27" s="6" t="s">
        <v>28</v>
      </c>
      <c r="K27" s="6" t="s">
        <v>48</v>
      </c>
      <c r="L27" s="6" t="s">
        <v>48</v>
      </c>
      <c r="M27" s="6" t="s">
        <v>48</v>
      </c>
    </row>
    <row r="28" spans="1:13">
      <c r="A28" s="7" t="s">
        <v>7</v>
      </c>
      <c r="B28" s="7">
        <v>7</v>
      </c>
      <c r="C28" s="7" t="s">
        <v>26</v>
      </c>
      <c r="D28" s="7" t="s">
        <v>28</v>
      </c>
      <c r="E28" s="7" t="s">
        <v>28</v>
      </c>
      <c r="G28" s="7" t="s">
        <v>26</v>
      </c>
      <c r="H28" s="7" t="s">
        <v>28</v>
      </c>
      <c r="I28" s="7" t="s">
        <v>28</v>
      </c>
      <c r="K28" s="7" t="s">
        <v>48</v>
      </c>
      <c r="L28" s="7" t="s">
        <v>48</v>
      </c>
      <c r="M28" s="7" t="s">
        <v>48</v>
      </c>
    </row>
    <row r="29" spans="1:13">
      <c r="A29" s="8" t="s">
        <v>12</v>
      </c>
      <c r="B29" s="8" t="s">
        <v>16</v>
      </c>
    </row>
  </sheetData>
  <mergeCells count="5">
    <mergeCell ref="A1:M1"/>
    <mergeCell ref="A2:M2"/>
    <mergeCell ref="A4:M4"/>
    <mergeCell ref="A13:M13"/>
    <mergeCell ref="A22:M22"/>
  </mergeCells>
  <conditionalFormatting sqref="C6:C30">
    <cfRule type="containsText" dxfId="0" priority="1" operator="containsText" text="(">
      <formula>NOT(ISERROR(SEARCH("(",C6)))</formula>
    </cfRule>
  </conditionalFormatting>
  <conditionalFormatting sqref="D6:D30">
    <cfRule type="containsText" dxfId="1" priority="2" operator="containsText" text="(">
      <formula>NOT(ISERROR(SEARCH("(",D6)))</formula>
    </cfRule>
  </conditionalFormatting>
  <conditionalFormatting sqref="E6:E30">
    <cfRule type="containsText" dxfId="2" priority="3" operator="containsText" text="(">
      <formula>NOT(ISERROR(SEARCH("(",E6)))</formula>
    </cfRule>
  </conditionalFormatting>
  <conditionalFormatting sqref="G6:G30">
    <cfRule type="containsText" dxfId="0" priority="4" operator="containsText" text="(">
      <formula>NOT(ISERROR(SEARCH("(",G6)))</formula>
    </cfRule>
  </conditionalFormatting>
  <conditionalFormatting sqref="H6:H30">
    <cfRule type="containsText" dxfId="1" priority="5" operator="containsText" text="(">
      <formula>NOT(ISERROR(SEARCH("(",H6)))</formula>
    </cfRule>
  </conditionalFormatting>
  <conditionalFormatting sqref="I6:I30">
    <cfRule type="containsText" dxfId="2" priority="6" operator="containsText" text="(">
      <formula>NOT(ISERROR(SEARCH("(",I6)))</formula>
    </cfRule>
  </conditionalFormatting>
  <conditionalFormatting sqref="K6:K30">
    <cfRule type="containsText" dxfId="0" priority="7" operator="containsText" text="(">
      <formula>NOT(ISERROR(SEARCH("(",K6)))</formula>
    </cfRule>
  </conditionalFormatting>
  <conditionalFormatting sqref="L6:L30">
    <cfRule type="containsText" dxfId="1" priority="8" operator="containsText" text="(">
      <formula>NOT(ISERROR(SEARCH("(",L6)))</formula>
    </cfRule>
  </conditionalFormatting>
  <conditionalFormatting sqref="M6:M30">
    <cfRule type="containsText" dxfId="2" priority="9" operator="containsText" text="(">
      <formula>NOT(ISERROR(SEARCH("(",M6)))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9.7109375" customWidth="1"/>
  </cols>
  <sheetData>
    <row r="1" spans="1:3">
      <c r="A1" s="9" t="s">
        <v>64</v>
      </c>
      <c r="B1" s="9"/>
      <c r="C1" s="9"/>
    </row>
    <row r="2" spans="1:3">
      <c r="A2" s="10" t="s">
        <v>53</v>
      </c>
      <c r="B2" s="10" t="s">
        <v>54</v>
      </c>
      <c r="C2" s="10" t="s">
        <v>55</v>
      </c>
    </row>
    <row r="3" spans="1:3">
      <c r="A3" s="11" t="s">
        <v>56</v>
      </c>
      <c r="B3" s="11" t="s">
        <v>58</v>
      </c>
      <c r="C3" s="11">
        <v>68</v>
      </c>
    </row>
    <row r="4" spans="1:3">
      <c r="A4" s="12" t="s">
        <v>56</v>
      </c>
      <c r="B4" s="12" t="s">
        <v>59</v>
      </c>
      <c r="C4" s="12">
        <v>14.82</v>
      </c>
    </row>
    <row r="5" spans="1:3">
      <c r="A5" s="11" t="s">
        <v>56</v>
      </c>
      <c r="B5" s="11" t="s">
        <v>60</v>
      </c>
      <c r="C5" s="11">
        <v>57.92</v>
      </c>
    </row>
    <row r="6" spans="1:3">
      <c r="A6" s="12" t="s">
        <v>56</v>
      </c>
      <c r="B6" s="12" t="s">
        <v>61</v>
      </c>
      <c r="C6" s="12">
        <v>50.04</v>
      </c>
    </row>
    <row r="7" spans="1:3">
      <c r="A7" s="11" t="s">
        <v>57</v>
      </c>
      <c r="B7" s="11" t="s">
        <v>58</v>
      </c>
      <c r="C7" s="11">
        <v>38</v>
      </c>
    </row>
    <row r="8" spans="1:3">
      <c r="A8" s="12" t="s">
        <v>57</v>
      </c>
      <c r="B8" s="12" t="s">
        <v>62</v>
      </c>
      <c r="C8" s="12">
        <v>1.44</v>
      </c>
    </row>
    <row r="9" spans="1:3">
      <c r="A9" s="11" t="s">
        <v>57</v>
      </c>
      <c r="B9" s="11" t="s">
        <v>63</v>
      </c>
      <c r="C9" s="11">
        <v>4.93</v>
      </c>
    </row>
  </sheetData>
  <mergeCells count="1">
    <mergeCell ref="A1:C1"/>
  </mergeCells>
  <conditionalFormatting sqref="C4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C5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conditionalFormatting sqref="C6">
    <cfRule type="cellIs" dxfId="0" priority="7" operator="between">
      <formula>0</formula>
      <formula>75</formula>
    </cfRule>
    <cfRule type="cellIs" dxfId="1" priority="8" operator="between">
      <formula>75</formula>
      <formula>89</formula>
    </cfRule>
    <cfRule type="cellIs" dxfId="2" priority="9" operator="between">
      <formula>90</formula>
      <formula>100</formula>
    </cfRule>
  </conditionalFormatting>
  <conditionalFormatting sqref="C8">
    <cfRule type="cellIs" dxfId="0" priority="10" operator="between">
      <formula>0</formula>
      <formula>75</formula>
    </cfRule>
    <cfRule type="cellIs" dxfId="1" priority="11" operator="between">
      <formula>75</formula>
      <formula>89</formula>
    </cfRule>
    <cfRule type="cellIs" dxfId="2" priority="12" operator="between">
      <formula>90</formula>
      <formula>100</formula>
    </cfRule>
  </conditionalFormatting>
  <conditionalFormatting sqref="C9">
    <cfRule type="cellIs" dxfId="0" priority="13" operator="between">
      <formula>0</formula>
      <formula>75</formula>
    </cfRule>
    <cfRule type="cellIs" dxfId="1" priority="14" operator="between">
      <formula>75</formula>
      <formula>89</formula>
    </cfRule>
    <cfRule type="cellIs" dxfId="2" priority="15" operator="between">
      <formula>90</formula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2" width="14.7109375" customWidth="1"/>
    <col min="3" max="4" width="19.7109375" customWidth="1"/>
    <col min="5" max="6" width="21.7109375" customWidth="1"/>
    <col min="7" max="7" width="27.7109375" customWidth="1"/>
    <col min="8" max="8" width="13.7109375" customWidth="1"/>
    <col min="9" max="9" width="19.7109375" customWidth="1"/>
    <col min="10" max="10" width="26.7109375" customWidth="1"/>
    <col min="11" max="11" width="31.7109375" customWidth="1"/>
    <col min="12" max="13" width="10.7109375" customWidth="1"/>
    <col min="14" max="14" width="12.7109375" customWidth="1"/>
    <col min="15" max="15" width="19.7109375" customWidth="1"/>
  </cols>
  <sheetData>
    <row r="1" spans="1:15">
      <c r="A1" s="13" t="s">
        <v>345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 t="s">
        <v>76</v>
      </c>
      <c r="M2" s="4" t="s">
        <v>77</v>
      </c>
      <c r="N2" s="4" t="s">
        <v>78</v>
      </c>
      <c r="O2" s="4" t="s">
        <v>79</v>
      </c>
    </row>
    <row r="3" spans="1:15">
      <c r="A3" s="11" t="s">
        <v>80</v>
      </c>
      <c r="B3" s="11"/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 t="s">
        <v>293</v>
      </c>
      <c r="I3" s="11"/>
      <c r="J3" s="11"/>
      <c r="K3" s="11"/>
      <c r="L3" s="11" t="s">
        <v>339</v>
      </c>
      <c r="M3" s="11"/>
      <c r="N3" s="11" t="s">
        <v>344</v>
      </c>
      <c r="O3" s="11" t="s">
        <v>4</v>
      </c>
    </row>
    <row r="4" spans="1:15">
      <c r="A4" s="12" t="s">
        <v>81</v>
      </c>
      <c r="B4" s="12"/>
      <c r="C4" s="12">
        <v>0</v>
      </c>
      <c r="D4" s="12">
        <v>5</v>
      </c>
      <c r="E4" s="12">
        <v>69.95</v>
      </c>
      <c r="F4" s="12">
        <v>83.89</v>
      </c>
      <c r="G4" s="12">
        <v>28.8</v>
      </c>
      <c r="H4" s="12" t="s">
        <v>293</v>
      </c>
      <c r="I4" s="12"/>
      <c r="J4" s="12"/>
      <c r="K4" s="12"/>
      <c r="L4" s="12" t="s">
        <v>230</v>
      </c>
      <c r="M4" s="12"/>
      <c r="N4" s="12" t="s">
        <v>344</v>
      </c>
      <c r="O4" s="12" t="s">
        <v>5</v>
      </c>
    </row>
    <row r="5" spans="1:15">
      <c r="A5" s="11" t="s">
        <v>82</v>
      </c>
      <c r="B5" s="11"/>
      <c r="C5" s="11">
        <v>2</v>
      </c>
      <c r="D5" s="11">
        <v>0</v>
      </c>
      <c r="E5" s="11">
        <v>58.01</v>
      </c>
      <c r="F5" s="11">
        <v>0</v>
      </c>
      <c r="G5" s="11">
        <v>0</v>
      </c>
      <c r="H5" s="11" t="s">
        <v>293</v>
      </c>
      <c r="I5" s="11" t="s">
        <v>294</v>
      </c>
      <c r="J5" s="11" t="s">
        <v>296</v>
      </c>
      <c r="K5" s="11" t="s">
        <v>296</v>
      </c>
      <c r="L5" s="11" t="s">
        <v>230</v>
      </c>
      <c r="M5" s="11"/>
      <c r="N5" s="11" t="s">
        <v>344</v>
      </c>
      <c r="O5" s="11" t="s">
        <v>5</v>
      </c>
    </row>
    <row r="6" spans="1:15">
      <c r="A6" s="12" t="s">
        <v>83</v>
      </c>
      <c r="B6" s="12"/>
      <c r="C6" s="12">
        <v>2</v>
      </c>
      <c r="D6" s="12">
        <v>0</v>
      </c>
      <c r="E6" s="12">
        <v>4.04</v>
      </c>
      <c r="F6" s="12">
        <v>25.6</v>
      </c>
      <c r="G6" s="12">
        <v>70</v>
      </c>
      <c r="H6" s="12" t="s">
        <v>293</v>
      </c>
      <c r="I6" s="12" t="s">
        <v>294</v>
      </c>
      <c r="J6" s="12" t="s">
        <v>296</v>
      </c>
      <c r="K6" s="12" t="s">
        <v>296</v>
      </c>
      <c r="L6" s="12" t="s">
        <v>230</v>
      </c>
      <c r="M6" s="12"/>
      <c r="N6" s="12" t="s">
        <v>344</v>
      </c>
      <c r="O6" s="12" t="s">
        <v>5</v>
      </c>
    </row>
    <row r="7" spans="1:15">
      <c r="A7" s="11" t="s">
        <v>84</v>
      </c>
      <c r="B7" s="11"/>
      <c r="C7" s="11">
        <v>2</v>
      </c>
      <c r="D7" s="11">
        <v>0</v>
      </c>
      <c r="E7" s="11">
        <v>11.14</v>
      </c>
      <c r="F7" s="11">
        <v>86.41</v>
      </c>
      <c r="G7" s="11">
        <v>82.56999999999999</v>
      </c>
      <c r="H7" s="11" t="s">
        <v>293</v>
      </c>
      <c r="I7" s="11" t="s">
        <v>294</v>
      </c>
      <c r="J7" s="11" t="s">
        <v>296</v>
      </c>
      <c r="K7" s="11" t="s">
        <v>296</v>
      </c>
      <c r="L7" s="11" t="s">
        <v>230</v>
      </c>
      <c r="M7" s="11"/>
      <c r="N7" s="11" t="s">
        <v>344</v>
      </c>
      <c r="O7" s="11" t="s">
        <v>5</v>
      </c>
    </row>
    <row r="8" spans="1:15">
      <c r="A8" s="12" t="s">
        <v>85</v>
      </c>
      <c r="B8" s="12"/>
      <c r="C8" s="12">
        <v>2</v>
      </c>
      <c r="D8" s="12">
        <v>0</v>
      </c>
      <c r="E8" s="12">
        <v>3.22</v>
      </c>
      <c r="F8" s="12">
        <v>0</v>
      </c>
      <c r="G8" s="12">
        <v>0</v>
      </c>
      <c r="H8" s="12" t="s">
        <v>293</v>
      </c>
      <c r="I8" s="12" t="s">
        <v>294</v>
      </c>
      <c r="J8" s="12" t="s">
        <v>297</v>
      </c>
      <c r="K8" s="12" t="s">
        <v>308</v>
      </c>
      <c r="L8" s="12" t="s">
        <v>339</v>
      </c>
      <c r="M8" s="12" t="s">
        <v>341</v>
      </c>
      <c r="N8" s="12" t="s">
        <v>344</v>
      </c>
      <c r="O8" s="12" t="s">
        <v>4</v>
      </c>
    </row>
    <row r="9" spans="1:15">
      <c r="A9" s="11" t="s">
        <v>86</v>
      </c>
      <c r="B9" s="11"/>
      <c r="C9" s="11">
        <v>0</v>
      </c>
      <c r="D9" s="11">
        <v>3</v>
      </c>
      <c r="E9" s="11">
        <v>4.25</v>
      </c>
      <c r="F9" s="11">
        <v>25.47</v>
      </c>
      <c r="G9" s="11">
        <v>83.2</v>
      </c>
      <c r="H9" s="11" t="s">
        <v>293</v>
      </c>
      <c r="I9" s="11" t="s">
        <v>294</v>
      </c>
      <c r="J9" s="11" t="s">
        <v>297</v>
      </c>
      <c r="K9" s="11" t="s">
        <v>308</v>
      </c>
      <c r="L9" s="11" t="s">
        <v>230</v>
      </c>
      <c r="M9" s="11"/>
      <c r="N9" s="11" t="s">
        <v>344</v>
      </c>
      <c r="O9" s="11" t="s">
        <v>5</v>
      </c>
    </row>
    <row r="10" spans="1:15">
      <c r="A10" s="12" t="s">
        <v>87</v>
      </c>
      <c r="B10" s="12"/>
      <c r="C10" s="12">
        <v>0</v>
      </c>
      <c r="D10" s="12">
        <v>3</v>
      </c>
      <c r="E10" s="12">
        <v>6.79</v>
      </c>
      <c r="F10" s="12">
        <v>25.27</v>
      </c>
      <c r="G10" s="12">
        <v>99.93000000000001</v>
      </c>
      <c r="H10" s="12" t="s">
        <v>293</v>
      </c>
      <c r="I10" s="12" t="s">
        <v>294</v>
      </c>
      <c r="J10" s="12" t="s">
        <v>296</v>
      </c>
      <c r="K10" s="12" t="s">
        <v>296</v>
      </c>
      <c r="L10" s="12" t="s">
        <v>230</v>
      </c>
      <c r="M10" s="12"/>
      <c r="N10" s="12" t="s">
        <v>344</v>
      </c>
      <c r="O10" s="12" t="s">
        <v>5</v>
      </c>
    </row>
    <row r="11" spans="1:15">
      <c r="A11" s="11" t="s">
        <v>88</v>
      </c>
      <c r="B11" s="11"/>
      <c r="C11" s="11">
        <v>0</v>
      </c>
      <c r="D11" s="11">
        <v>1</v>
      </c>
      <c r="E11" s="11">
        <v>6.57</v>
      </c>
      <c r="F11" s="11">
        <v>0</v>
      </c>
      <c r="G11" s="11">
        <v>0</v>
      </c>
      <c r="H11" s="11" t="s">
        <v>293</v>
      </c>
      <c r="I11" s="11" t="s">
        <v>294</v>
      </c>
      <c r="J11" s="11" t="s">
        <v>298</v>
      </c>
      <c r="K11" s="11" t="s">
        <v>309</v>
      </c>
      <c r="L11" s="11" t="s">
        <v>340</v>
      </c>
      <c r="M11" s="11" t="s">
        <v>341</v>
      </c>
      <c r="N11" s="11" t="s">
        <v>344</v>
      </c>
      <c r="O11" s="11" t="s">
        <v>6</v>
      </c>
    </row>
    <row r="12" spans="1:15">
      <c r="A12" s="12" t="s">
        <v>89</v>
      </c>
      <c r="B12" s="12"/>
      <c r="C12" s="12">
        <v>2</v>
      </c>
      <c r="D12" s="12">
        <v>0</v>
      </c>
      <c r="E12" s="12">
        <v>2.33</v>
      </c>
      <c r="F12" s="12">
        <v>72.45999999999999</v>
      </c>
      <c r="G12" s="12">
        <v>18.67</v>
      </c>
      <c r="H12" s="12" t="s">
        <v>293</v>
      </c>
      <c r="I12" s="12" t="s">
        <v>294</v>
      </c>
      <c r="J12" s="12" t="s">
        <v>298</v>
      </c>
      <c r="K12" s="12" t="s">
        <v>309</v>
      </c>
      <c r="L12" s="12" t="s">
        <v>230</v>
      </c>
      <c r="M12" s="12"/>
      <c r="N12" s="12" t="s">
        <v>344</v>
      </c>
      <c r="O12" s="12" t="s">
        <v>5</v>
      </c>
    </row>
    <row r="13" spans="1:15">
      <c r="A13" s="11" t="s">
        <v>90</v>
      </c>
      <c r="B13" s="11"/>
      <c r="C13" s="11">
        <v>1</v>
      </c>
      <c r="D13" s="11">
        <v>0</v>
      </c>
      <c r="E13" s="11">
        <v>7.89</v>
      </c>
      <c r="F13" s="11">
        <v>74.27</v>
      </c>
      <c r="G13" s="11">
        <v>35.06</v>
      </c>
      <c r="H13" s="11" t="s">
        <v>293</v>
      </c>
      <c r="I13" s="11" t="s">
        <v>294</v>
      </c>
      <c r="J13" s="11" t="s">
        <v>298</v>
      </c>
      <c r="K13" s="11" t="s">
        <v>310</v>
      </c>
      <c r="L13" s="11" t="s">
        <v>230</v>
      </c>
      <c r="M13" s="11"/>
      <c r="N13" s="11" t="s">
        <v>344</v>
      </c>
      <c r="O13" s="11" t="s">
        <v>5</v>
      </c>
    </row>
    <row r="14" spans="1:15">
      <c r="A14" s="12" t="s">
        <v>91</v>
      </c>
      <c r="B14" s="12"/>
      <c r="C14" s="12">
        <v>0</v>
      </c>
      <c r="D14" s="12">
        <v>1</v>
      </c>
      <c r="E14" s="12">
        <v>55.56</v>
      </c>
      <c r="F14" s="12">
        <v>50.39</v>
      </c>
      <c r="G14" s="12">
        <v>33.52</v>
      </c>
      <c r="H14" s="12" t="s">
        <v>293</v>
      </c>
      <c r="I14" s="12" t="s">
        <v>294</v>
      </c>
      <c r="J14" s="12" t="s">
        <v>298</v>
      </c>
      <c r="K14" s="12" t="s">
        <v>309</v>
      </c>
      <c r="L14" s="12" t="s">
        <v>230</v>
      </c>
      <c r="M14" s="12"/>
      <c r="N14" s="12" t="s">
        <v>344</v>
      </c>
      <c r="O14" s="12" t="s">
        <v>5</v>
      </c>
    </row>
    <row r="15" spans="1:15">
      <c r="A15" s="11" t="s">
        <v>92</v>
      </c>
      <c r="B15" s="11"/>
      <c r="C15" s="11">
        <v>1</v>
      </c>
      <c r="D15" s="11">
        <v>1</v>
      </c>
      <c r="E15" s="11">
        <v>2.77</v>
      </c>
      <c r="F15" s="11">
        <v>0</v>
      </c>
      <c r="G15" s="11">
        <v>0</v>
      </c>
      <c r="H15" s="11" t="s">
        <v>293</v>
      </c>
      <c r="I15" s="11" t="s">
        <v>294</v>
      </c>
      <c r="J15" s="11" t="s">
        <v>298</v>
      </c>
      <c r="K15" s="11" t="s">
        <v>309</v>
      </c>
      <c r="L15" s="11" t="s">
        <v>340</v>
      </c>
      <c r="M15" s="11" t="s">
        <v>341</v>
      </c>
      <c r="N15" s="11" t="s">
        <v>344</v>
      </c>
      <c r="O15" s="11" t="s">
        <v>6</v>
      </c>
    </row>
    <row r="16" spans="1:15">
      <c r="A16" s="12" t="s">
        <v>93</v>
      </c>
      <c r="B16" s="12"/>
      <c r="C16" s="12">
        <v>1</v>
      </c>
      <c r="D16" s="12">
        <v>1</v>
      </c>
      <c r="E16" s="12">
        <v>3.23</v>
      </c>
      <c r="F16" s="12">
        <v>0</v>
      </c>
      <c r="G16" s="12">
        <v>0</v>
      </c>
      <c r="H16" s="12" t="s">
        <v>293</v>
      </c>
      <c r="I16" s="12" t="s">
        <v>294</v>
      </c>
      <c r="J16" s="12" t="s">
        <v>298</v>
      </c>
      <c r="K16" s="12" t="s">
        <v>309</v>
      </c>
      <c r="L16" s="12" t="s">
        <v>340</v>
      </c>
      <c r="M16" s="12" t="s">
        <v>341</v>
      </c>
      <c r="N16" s="12" t="s">
        <v>344</v>
      </c>
      <c r="O16" s="12" t="s">
        <v>6</v>
      </c>
    </row>
    <row r="17" spans="1:15">
      <c r="A17" s="11" t="s">
        <v>94</v>
      </c>
      <c r="B17" s="11"/>
      <c r="C17" s="11">
        <v>16</v>
      </c>
      <c r="D17" s="11">
        <v>13</v>
      </c>
      <c r="E17" s="11">
        <v>37.67</v>
      </c>
      <c r="F17" s="11">
        <v>27.7</v>
      </c>
      <c r="G17" s="11">
        <v>79.23</v>
      </c>
      <c r="H17" s="11" t="s">
        <v>293</v>
      </c>
      <c r="I17" s="11" t="s">
        <v>294</v>
      </c>
      <c r="J17" s="11" t="s">
        <v>299</v>
      </c>
      <c r="K17" s="11" t="s">
        <v>311</v>
      </c>
      <c r="L17" s="11" t="s">
        <v>340</v>
      </c>
      <c r="M17" s="11" t="s">
        <v>341</v>
      </c>
      <c r="N17" s="11" t="s">
        <v>344</v>
      </c>
      <c r="O17" s="11" t="s">
        <v>6</v>
      </c>
    </row>
    <row r="18" spans="1:15">
      <c r="A18" s="12" t="s">
        <v>95</v>
      </c>
      <c r="B18" s="12" t="s">
        <v>292</v>
      </c>
      <c r="C18" s="12">
        <v>13</v>
      </c>
      <c r="D18" s="12">
        <v>13</v>
      </c>
      <c r="E18" s="12">
        <v>25.07</v>
      </c>
      <c r="F18" s="12">
        <v>27.85</v>
      </c>
      <c r="G18" s="12">
        <v>75.88</v>
      </c>
      <c r="H18" s="12" t="s">
        <v>293</v>
      </c>
      <c r="I18" s="12" t="s">
        <v>294</v>
      </c>
      <c r="J18" s="12" t="s">
        <v>299</v>
      </c>
      <c r="K18" s="12" t="s">
        <v>311</v>
      </c>
      <c r="L18" s="12" t="s">
        <v>340</v>
      </c>
      <c r="M18" s="12" t="s">
        <v>341</v>
      </c>
      <c r="N18" s="12" t="s">
        <v>344</v>
      </c>
      <c r="O18" s="12" t="s">
        <v>6</v>
      </c>
    </row>
    <row r="19" spans="1:15">
      <c r="A19" s="11" t="s">
        <v>96</v>
      </c>
      <c r="B19" s="11"/>
      <c r="C19" s="11">
        <v>1</v>
      </c>
      <c r="D19" s="11">
        <v>1</v>
      </c>
      <c r="E19" s="11">
        <v>2.81</v>
      </c>
      <c r="F19" s="11">
        <v>0</v>
      </c>
      <c r="G19" s="11">
        <v>0</v>
      </c>
      <c r="H19" s="11" t="s">
        <v>293</v>
      </c>
      <c r="I19" s="11" t="s">
        <v>294</v>
      </c>
      <c r="J19" s="11" t="s">
        <v>296</v>
      </c>
      <c r="K19" s="11" t="s">
        <v>296</v>
      </c>
      <c r="L19" s="11" t="s">
        <v>340</v>
      </c>
      <c r="M19" s="11" t="s">
        <v>341</v>
      </c>
      <c r="N19" s="11" t="s">
        <v>344</v>
      </c>
      <c r="O19" s="11" t="s">
        <v>6</v>
      </c>
    </row>
    <row r="20" spans="1:15">
      <c r="A20" s="12" t="s">
        <v>97</v>
      </c>
      <c r="B20" s="12" t="s">
        <v>292</v>
      </c>
      <c r="C20" s="12">
        <v>55</v>
      </c>
      <c r="D20" s="12">
        <v>54</v>
      </c>
      <c r="E20" s="12">
        <v>16.54</v>
      </c>
      <c r="F20" s="12">
        <v>43.38</v>
      </c>
      <c r="G20" s="12">
        <v>33.78</v>
      </c>
      <c r="H20" s="12" t="s">
        <v>293</v>
      </c>
      <c r="I20" s="12" t="s">
        <v>295</v>
      </c>
      <c r="J20" s="12" t="s">
        <v>300</v>
      </c>
      <c r="K20" s="12" t="s">
        <v>312</v>
      </c>
      <c r="L20" s="12" t="s">
        <v>340</v>
      </c>
      <c r="M20" s="12" t="s">
        <v>341</v>
      </c>
      <c r="N20" s="12" t="s">
        <v>344</v>
      </c>
      <c r="O20" s="12" t="s">
        <v>6</v>
      </c>
    </row>
    <row r="21" spans="1:15">
      <c r="A21" s="11" t="s">
        <v>98</v>
      </c>
      <c r="B21" s="11" t="s">
        <v>292</v>
      </c>
      <c r="C21" s="11">
        <v>25</v>
      </c>
      <c r="D21" s="11">
        <v>25</v>
      </c>
      <c r="E21" s="11">
        <v>30.22</v>
      </c>
      <c r="F21" s="11">
        <v>63.2</v>
      </c>
      <c r="G21" s="11">
        <v>58.61</v>
      </c>
      <c r="H21" s="11" t="s">
        <v>293</v>
      </c>
      <c r="I21" s="11" t="s">
        <v>294</v>
      </c>
      <c r="J21" s="11" t="s">
        <v>301</v>
      </c>
      <c r="K21" s="11" t="s">
        <v>313</v>
      </c>
      <c r="L21" s="11" t="s">
        <v>340</v>
      </c>
      <c r="M21" s="11" t="s">
        <v>341</v>
      </c>
      <c r="N21" s="11" t="s">
        <v>344</v>
      </c>
      <c r="O21" s="11" t="s">
        <v>6</v>
      </c>
    </row>
    <row r="22" spans="1:15">
      <c r="A22" s="12" t="s">
        <v>99</v>
      </c>
      <c r="B22" s="12"/>
      <c r="C22" s="12">
        <v>14</v>
      </c>
      <c r="D22" s="12">
        <v>14</v>
      </c>
      <c r="E22" s="12">
        <v>5.29</v>
      </c>
      <c r="F22" s="12">
        <v>41.77</v>
      </c>
      <c r="G22" s="12">
        <v>9</v>
      </c>
      <c r="H22" s="12" t="s">
        <v>293</v>
      </c>
      <c r="I22" s="12" t="s">
        <v>294</v>
      </c>
      <c r="J22" s="12" t="s">
        <v>302</v>
      </c>
      <c r="K22" s="12" t="s">
        <v>314</v>
      </c>
      <c r="L22" s="12" t="s">
        <v>340</v>
      </c>
      <c r="M22" s="12" t="s">
        <v>341</v>
      </c>
      <c r="N22" s="12" t="s">
        <v>344</v>
      </c>
      <c r="O22" s="12" t="s">
        <v>6</v>
      </c>
    </row>
    <row r="23" spans="1:15">
      <c r="A23" s="11" t="s">
        <v>100</v>
      </c>
      <c r="B23" s="11"/>
      <c r="C23" s="11">
        <v>96</v>
      </c>
      <c r="D23" s="11">
        <v>96</v>
      </c>
      <c r="E23" s="11">
        <v>17.33</v>
      </c>
      <c r="F23" s="11">
        <v>43.14</v>
      </c>
      <c r="G23" s="11">
        <v>76.2</v>
      </c>
      <c r="H23" s="11" t="s">
        <v>293</v>
      </c>
      <c r="I23" s="11" t="s">
        <v>295</v>
      </c>
      <c r="J23" s="11" t="s">
        <v>299</v>
      </c>
      <c r="K23" s="11" t="s">
        <v>315</v>
      </c>
      <c r="L23" s="11" t="s">
        <v>340</v>
      </c>
      <c r="M23" s="11" t="s">
        <v>342</v>
      </c>
      <c r="N23" s="11" t="s">
        <v>344</v>
      </c>
      <c r="O23" s="11" t="s">
        <v>6</v>
      </c>
    </row>
    <row r="24" spans="1:15">
      <c r="A24" s="12" t="s">
        <v>101</v>
      </c>
      <c r="B24" s="12"/>
      <c r="C24" s="12">
        <v>1</v>
      </c>
      <c r="D24" s="12">
        <v>0</v>
      </c>
      <c r="E24" s="12">
        <v>2.93</v>
      </c>
      <c r="F24" s="12">
        <v>25.48</v>
      </c>
      <c r="G24" s="12">
        <v>12.8</v>
      </c>
      <c r="H24" s="12" t="s">
        <v>293</v>
      </c>
      <c r="I24" s="12" t="s">
        <v>294</v>
      </c>
      <c r="J24" s="12" t="s">
        <v>298</v>
      </c>
      <c r="K24" s="12" t="s">
        <v>309</v>
      </c>
      <c r="L24" s="12" t="s">
        <v>340</v>
      </c>
      <c r="M24" s="12" t="s">
        <v>341</v>
      </c>
      <c r="N24" s="12" t="s">
        <v>344</v>
      </c>
      <c r="O24" s="12" t="s">
        <v>6</v>
      </c>
    </row>
    <row r="25" spans="1:15">
      <c r="A25" s="11" t="s">
        <v>102</v>
      </c>
      <c r="B25" s="11"/>
      <c r="C25" s="11">
        <v>13</v>
      </c>
      <c r="D25" s="11">
        <v>13</v>
      </c>
      <c r="E25" s="11">
        <v>32.22</v>
      </c>
      <c r="F25" s="11">
        <v>60.14</v>
      </c>
      <c r="G25" s="11">
        <v>73.93000000000001</v>
      </c>
      <c r="H25" s="11" t="s">
        <v>293</v>
      </c>
      <c r="I25" s="11" t="s">
        <v>294</v>
      </c>
      <c r="J25" s="11" t="s">
        <v>301</v>
      </c>
      <c r="K25" s="11" t="s">
        <v>316</v>
      </c>
      <c r="L25" s="11" t="s">
        <v>340</v>
      </c>
      <c r="M25" s="11" t="s">
        <v>341</v>
      </c>
      <c r="N25" s="11" t="s">
        <v>344</v>
      </c>
      <c r="O25" s="11" t="s">
        <v>6</v>
      </c>
    </row>
    <row r="26" spans="1:15">
      <c r="A26" s="12" t="s">
        <v>103</v>
      </c>
      <c r="B26" s="12" t="s">
        <v>292</v>
      </c>
      <c r="C26" s="12">
        <v>6</v>
      </c>
      <c r="D26" s="12">
        <v>6</v>
      </c>
      <c r="E26" s="12">
        <v>35.8</v>
      </c>
      <c r="F26" s="12">
        <v>41.42</v>
      </c>
      <c r="G26" s="12">
        <v>76.04000000000001</v>
      </c>
      <c r="H26" s="12" t="s">
        <v>293</v>
      </c>
      <c r="I26" s="12" t="s">
        <v>294</v>
      </c>
      <c r="J26" s="12" t="s">
        <v>301</v>
      </c>
      <c r="K26" s="12" t="s">
        <v>316</v>
      </c>
      <c r="L26" s="12" t="s">
        <v>340</v>
      </c>
      <c r="M26" s="12" t="s">
        <v>341</v>
      </c>
      <c r="N26" s="12" t="s">
        <v>344</v>
      </c>
      <c r="O26" s="12" t="s">
        <v>6</v>
      </c>
    </row>
    <row r="27" spans="1:15">
      <c r="A27" s="11" t="s">
        <v>104</v>
      </c>
      <c r="B27" s="11"/>
      <c r="C27" s="11">
        <v>3</v>
      </c>
      <c r="D27" s="11">
        <v>3</v>
      </c>
      <c r="E27" s="11">
        <v>6.99</v>
      </c>
      <c r="F27" s="11">
        <v>47.59</v>
      </c>
      <c r="G27" s="11">
        <v>14.27</v>
      </c>
      <c r="H27" s="11" t="s">
        <v>293</v>
      </c>
      <c r="I27" s="11" t="s">
        <v>294</v>
      </c>
      <c r="J27" s="11" t="s">
        <v>303</v>
      </c>
      <c r="K27" s="11" t="s">
        <v>317</v>
      </c>
      <c r="L27" s="11" t="s">
        <v>340</v>
      </c>
      <c r="M27" s="11" t="s">
        <v>341</v>
      </c>
      <c r="N27" s="11" t="s">
        <v>344</v>
      </c>
      <c r="O27" s="11" t="s">
        <v>6</v>
      </c>
    </row>
    <row r="28" spans="1:15">
      <c r="A28" s="12" t="s">
        <v>105</v>
      </c>
      <c r="B28" s="12"/>
      <c r="C28" s="12">
        <v>1</v>
      </c>
      <c r="D28" s="12">
        <v>1</v>
      </c>
      <c r="E28" s="12">
        <v>4.8</v>
      </c>
      <c r="F28" s="12">
        <v>37.73</v>
      </c>
      <c r="G28" s="12">
        <v>7.77</v>
      </c>
      <c r="H28" s="12" t="s">
        <v>293</v>
      </c>
      <c r="I28" s="12" t="s">
        <v>294</v>
      </c>
      <c r="J28" s="12" t="s">
        <v>303</v>
      </c>
      <c r="K28" s="12" t="s">
        <v>317</v>
      </c>
      <c r="L28" s="12" t="s">
        <v>340</v>
      </c>
      <c r="M28" s="12" t="s">
        <v>341</v>
      </c>
      <c r="N28" s="12" t="s">
        <v>344</v>
      </c>
      <c r="O28" s="12" t="s">
        <v>6</v>
      </c>
    </row>
    <row r="29" spans="1:15">
      <c r="A29" s="11" t="s">
        <v>106</v>
      </c>
      <c r="B29" s="11"/>
      <c r="C29" s="11">
        <v>4</v>
      </c>
      <c r="D29" s="11">
        <v>4</v>
      </c>
      <c r="E29" s="11">
        <v>9.82</v>
      </c>
      <c r="F29" s="11">
        <v>68.13</v>
      </c>
      <c r="G29" s="11">
        <v>6.78</v>
      </c>
      <c r="H29" s="11" t="s">
        <v>293</v>
      </c>
      <c r="I29" s="11" t="s">
        <v>294</v>
      </c>
      <c r="J29" s="11" t="s">
        <v>304</v>
      </c>
      <c r="K29" s="11" t="s">
        <v>318</v>
      </c>
      <c r="L29" s="11" t="s">
        <v>340</v>
      </c>
      <c r="M29" s="11" t="s">
        <v>341</v>
      </c>
      <c r="N29" s="11" t="s">
        <v>344</v>
      </c>
      <c r="O29" s="11" t="s">
        <v>6</v>
      </c>
    </row>
    <row r="30" spans="1:15">
      <c r="A30" s="12" t="s">
        <v>107</v>
      </c>
      <c r="B30" s="12"/>
      <c r="C30" s="12">
        <v>3</v>
      </c>
      <c r="D30" s="12">
        <v>3</v>
      </c>
      <c r="E30" s="12">
        <v>6.89</v>
      </c>
      <c r="F30" s="12">
        <v>67.23</v>
      </c>
      <c r="G30" s="12">
        <v>11.28</v>
      </c>
      <c r="H30" s="12" t="s">
        <v>293</v>
      </c>
      <c r="I30" s="12" t="s">
        <v>294</v>
      </c>
      <c r="J30" s="12" t="s">
        <v>304</v>
      </c>
      <c r="K30" s="12" t="s">
        <v>319</v>
      </c>
      <c r="L30" s="12" t="s">
        <v>340</v>
      </c>
      <c r="M30" s="12" t="s">
        <v>341</v>
      </c>
      <c r="N30" s="12" t="s">
        <v>344</v>
      </c>
      <c r="O30" s="12" t="s">
        <v>6</v>
      </c>
    </row>
    <row r="31" spans="1:15">
      <c r="A31" s="11" t="s">
        <v>108</v>
      </c>
      <c r="B31" s="11" t="s">
        <v>292</v>
      </c>
      <c r="C31" s="11">
        <v>9</v>
      </c>
      <c r="D31" s="11">
        <v>9</v>
      </c>
      <c r="E31" s="11">
        <v>18.54</v>
      </c>
      <c r="F31" s="11">
        <v>27.64</v>
      </c>
      <c r="G31" s="11">
        <v>69.5</v>
      </c>
      <c r="H31" s="11" t="s">
        <v>293</v>
      </c>
      <c r="I31" s="11" t="s">
        <v>294</v>
      </c>
      <c r="J31" s="11" t="s">
        <v>296</v>
      </c>
      <c r="K31" s="11" t="s">
        <v>296</v>
      </c>
      <c r="L31" s="11"/>
      <c r="M31" s="11" t="s">
        <v>341</v>
      </c>
      <c r="N31" s="11" t="s">
        <v>344</v>
      </c>
      <c r="O31" s="11" t="s">
        <v>7</v>
      </c>
    </row>
    <row r="32" spans="1:15">
      <c r="A32" s="12" t="s">
        <v>109</v>
      </c>
      <c r="B32" s="12" t="s">
        <v>292</v>
      </c>
      <c r="C32" s="12">
        <v>113</v>
      </c>
      <c r="D32" s="12">
        <v>113</v>
      </c>
      <c r="E32" s="12">
        <v>7.07</v>
      </c>
      <c r="F32" s="12">
        <v>38.16</v>
      </c>
      <c r="G32" s="12">
        <v>31.59</v>
      </c>
      <c r="H32" s="12" t="s">
        <v>293</v>
      </c>
      <c r="I32" s="12" t="s">
        <v>294</v>
      </c>
      <c r="J32" s="12" t="s">
        <v>296</v>
      </c>
      <c r="K32" s="12" t="s">
        <v>296</v>
      </c>
      <c r="L32" s="12" t="s">
        <v>340</v>
      </c>
      <c r="M32" s="12" t="s">
        <v>341</v>
      </c>
      <c r="N32" s="12" t="s">
        <v>344</v>
      </c>
      <c r="O32" s="12" t="s">
        <v>6</v>
      </c>
    </row>
    <row r="33" spans="1:15">
      <c r="A33" s="11" t="s">
        <v>110</v>
      </c>
      <c r="B33" s="11"/>
      <c r="C33" s="11">
        <v>44</v>
      </c>
      <c r="D33" s="11">
        <v>44</v>
      </c>
      <c r="E33" s="11">
        <v>40.81</v>
      </c>
      <c r="F33" s="11">
        <v>43.94</v>
      </c>
      <c r="G33" s="11">
        <v>17.99</v>
      </c>
      <c r="H33" s="11" t="s">
        <v>293</v>
      </c>
      <c r="I33" s="11" t="s">
        <v>294</v>
      </c>
      <c r="J33" s="11" t="s">
        <v>296</v>
      </c>
      <c r="K33" s="11" t="s">
        <v>296</v>
      </c>
      <c r="L33" s="11" t="s">
        <v>340</v>
      </c>
      <c r="M33" s="11" t="s">
        <v>341</v>
      </c>
      <c r="N33" s="11" t="s">
        <v>344</v>
      </c>
      <c r="O33" s="11" t="s">
        <v>6</v>
      </c>
    </row>
    <row r="34" spans="1:15">
      <c r="A34" s="12" t="s">
        <v>111</v>
      </c>
      <c r="B34" s="12"/>
      <c r="C34" s="12">
        <v>0</v>
      </c>
      <c r="D34" s="12">
        <v>2</v>
      </c>
      <c r="E34" s="12">
        <v>37.15</v>
      </c>
      <c r="F34" s="12">
        <v>76.20999999999999</v>
      </c>
      <c r="G34" s="12">
        <v>56.25</v>
      </c>
      <c r="H34" s="12" t="s">
        <v>293</v>
      </c>
      <c r="I34" s="12" t="s">
        <v>294</v>
      </c>
      <c r="J34" s="12" t="s">
        <v>296</v>
      </c>
      <c r="K34" s="12" t="s">
        <v>296</v>
      </c>
      <c r="L34" s="12" t="s">
        <v>230</v>
      </c>
      <c r="M34" s="12"/>
      <c r="N34" s="12" t="s">
        <v>344</v>
      </c>
      <c r="O34" s="12" t="s">
        <v>5</v>
      </c>
    </row>
    <row r="35" spans="1:15">
      <c r="A35" s="11" t="s">
        <v>112</v>
      </c>
      <c r="B35" s="11"/>
      <c r="C35" s="11">
        <v>0</v>
      </c>
      <c r="D35" s="11">
        <v>2</v>
      </c>
      <c r="E35" s="11">
        <v>4.42</v>
      </c>
      <c r="F35" s="11">
        <v>56.66</v>
      </c>
      <c r="G35" s="11">
        <v>35.95</v>
      </c>
      <c r="H35" s="11" t="s">
        <v>293</v>
      </c>
      <c r="I35" s="11" t="s">
        <v>294</v>
      </c>
      <c r="J35" s="11" t="s">
        <v>296</v>
      </c>
      <c r="K35" s="11" t="s">
        <v>296</v>
      </c>
      <c r="L35" s="11" t="s">
        <v>230</v>
      </c>
      <c r="M35" s="11"/>
      <c r="N35" s="11" t="s">
        <v>344</v>
      </c>
      <c r="O35" s="11" t="s">
        <v>5</v>
      </c>
    </row>
    <row r="36" spans="1:15">
      <c r="A36" s="12" t="s">
        <v>113</v>
      </c>
      <c r="B36" s="12"/>
      <c r="C36" s="12">
        <v>5</v>
      </c>
      <c r="D36" s="12">
        <v>0</v>
      </c>
      <c r="E36" s="12">
        <v>7.46</v>
      </c>
      <c r="F36" s="12">
        <v>78.23</v>
      </c>
      <c r="G36" s="12">
        <v>36</v>
      </c>
      <c r="H36" s="12" t="s">
        <v>293</v>
      </c>
      <c r="I36" s="12" t="s">
        <v>294</v>
      </c>
      <c r="J36" s="12" t="s">
        <v>296</v>
      </c>
      <c r="K36" s="12" t="s">
        <v>296</v>
      </c>
      <c r="L36" s="12" t="s">
        <v>230</v>
      </c>
      <c r="M36" s="12"/>
      <c r="N36" s="12" t="s">
        <v>344</v>
      </c>
      <c r="O36" s="12" t="s">
        <v>5</v>
      </c>
    </row>
    <row r="37" spans="1:15">
      <c r="A37" s="11" t="s">
        <v>114</v>
      </c>
      <c r="B37" s="11"/>
      <c r="C37" s="11">
        <v>1</v>
      </c>
      <c r="D37" s="11">
        <v>0</v>
      </c>
      <c r="E37" s="11">
        <v>0.48</v>
      </c>
      <c r="F37" s="11">
        <v>0</v>
      </c>
      <c r="G37" s="11">
        <v>0</v>
      </c>
      <c r="H37" s="11"/>
      <c r="I37" s="11"/>
      <c r="J37" s="11"/>
      <c r="K37" s="11"/>
      <c r="L37" s="11"/>
      <c r="M37" s="11"/>
      <c r="N37" s="11" t="s">
        <v>344</v>
      </c>
      <c r="O37" s="11" t="s">
        <v>7</v>
      </c>
    </row>
    <row r="38" spans="1:15">
      <c r="A38" s="12" t="s">
        <v>115</v>
      </c>
      <c r="B38" s="12"/>
      <c r="C38" s="12">
        <v>1</v>
      </c>
      <c r="D38" s="12">
        <v>0</v>
      </c>
      <c r="E38" s="12">
        <v>3.38</v>
      </c>
      <c r="F38" s="12">
        <v>0</v>
      </c>
      <c r="G38" s="12">
        <v>0</v>
      </c>
      <c r="H38" s="12"/>
      <c r="I38" s="12"/>
      <c r="J38" s="12"/>
      <c r="K38" s="12"/>
      <c r="L38" s="12"/>
      <c r="M38" s="12"/>
      <c r="N38" s="12" t="s">
        <v>344</v>
      </c>
      <c r="O38" s="12" t="s">
        <v>7</v>
      </c>
    </row>
    <row r="39" spans="1:15">
      <c r="A39" s="11" t="s">
        <v>116</v>
      </c>
      <c r="B39" s="11"/>
      <c r="C39" s="11">
        <v>1</v>
      </c>
      <c r="D39" s="11">
        <v>0</v>
      </c>
      <c r="E39" s="11">
        <v>3.92</v>
      </c>
      <c r="F39" s="11">
        <v>0</v>
      </c>
      <c r="G39" s="11">
        <v>0</v>
      </c>
      <c r="H39" s="11"/>
      <c r="I39" s="11"/>
      <c r="J39" s="11"/>
      <c r="K39" s="11"/>
      <c r="L39" s="11"/>
      <c r="M39" s="11"/>
      <c r="N39" s="11" t="s">
        <v>344</v>
      </c>
      <c r="O39" s="11" t="s">
        <v>7</v>
      </c>
    </row>
    <row r="40" spans="1:15">
      <c r="A40" s="12" t="s">
        <v>117</v>
      </c>
      <c r="B40" s="12"/>
      <c r="C40" s="12">
        <v>3</v>
      </c>
      <c r="D40" s="12">
        <v>3</v>
      </c>
      <c r="E40" s="12">
        <v>10.37</v>
      </c>
      <c r="F40" s="12">
        <v>64.87</v>
      </c>
      <c r="G40" s="12">
        <v>14.12</v>
      </c>
      <c r="H40" s="12" t="s">
        <v>293</v>
      </c>
      <c r="I40" s="12" t="s">
        <v>294</v>
      </c>
      <c r="J40" s="12" t="s">
        <v>304</v>
      </c>
      <c r="K40" s="12" t="s">
        <v>319</v>
      </c>
      <c r="L40" s="12" t="s">
        <v>340</v>
      </c>
      <c r="M40" s="12" t="s">
        <v>341</v>
      </c>
      <c r="N40" s="12" t="s">
        <v>344</v>
      </c>
      <c r="O40" s="12" t="s">
        <v>6</v>
      </c>
    </row>
    <row r="41" spans="1:15">
      <c r="A41" s="11" t="s">
        <v>118</v>
      </c>
      <c r="B41" s="11"/>
      <c r="C41" s="11">
        <v>83</v>
      </c>
      <c r="D41" s="11">
        <v>92</v>
      </c>
      <c r="E41" s="11">
        <v>21.45</v>
      </c>
      <c r="F41" s="11">
        <v>77.77</v>
      </c>
      <c r="G41" s="11">
        <v>68</v>
      </c>
      <c r="H41" s="11" t="s">
        <v>293</v>
      </c>
      <c r="I41" s="11" t="s">
        <v>294</v>
      </c>
      <c r="J41" s="11" t="s">
        <v>304</v>
      </c>
      <c r="K41" s="11" t="s">
        <v>319</v>
      </c>
      <c r="L41" s="11" t="s">
        <v>340</v>
      </c>
      <c r="M41" s="11" t="s">
        <v>341</v>
      </c>
      <c r="N41" s="11" t="s">
        <v>344</v>
      </c>
      <c r="O41" s="11" t="s">
        <v>7</v>
      </c>
    </row>
    <row r="42" spans="1:15">
      <c r="A42" s="12" t="s">
        <v>119</v>
      </c>
      <c r="B42" s="12"/>
      <c r="C42" s="12">
        <v>7</v>
      </c>
      <c r="D42" s="12">
        <v>7</v>
      </c>
      <c r="E42" s="12">
        <v>40.14</v>
      </c>
      <c r="F42" s="12">
        <v>59.56</v>
      </c>
      <c r="G42" s="12">
        <v>70.73999999999999</v>
      </c>
      <c r="H42" s="12" t="s">
        <v>293</v>
      </c>
      <c r="I42" s="12" t="s">
        <v>294</v>
      </c>
      <c r="J42" s="12" t="s">
        <v>303</v>
      </c>
      <c r="K42" s="12" t="s">
        <v>320</v>
      </c>
      <c r="L42" s="12" t="s">
        <v>340</v>
      </c>
      <c r="M42" s="12" t="s">
        <v>341</v>
      </c>
      <c r="N42" s="12" t="s">
        <v>344</v>
      </c>
      <c r="O42" s="12" t="s">
        <v>6</v>
      </c>
    </row>
    <row r="43" spans="1:15">
      <c r="A43" s="11" t="s">
        <v>120</v>
      </c>
      <c r="B43" s="11"/>
      <c r="C43" s="11">
        <v>20</v>
      </c>
      <c r="D43" s="11">
        <v>20</v>
      </c>
      <c r="E43" s="11">
        <v>4.12</v>
      </c>
      <c r="F43" s="11">
        <v>46.06</v>
      </c>
      <c r="G43" s="11">
        <v>28</v>
      </c>
      <c r="H43" s="11" t="s">
        <v>293</v>
      </c>
      <c r="I43" s="11" t="s">
        <v>294</v>
      </c>
      <c r="J43" s="11" t="s">
        <v>303</v>
      </c>
      <c r="K43" s="11" t="s">
        <v>320</v>
      </c>
      <c r="L43" s="11" t="s">
        <v>340</v>
      </c>
      <c r="M43" s="11"/>
      <c r="N43" s="11" t="s">
        <v>344</v>
      </c>
      <c r="O43" s="11" t="s">
        <v>6</v>
      </c>
    </row>
    <row r="44" spans="1:15">
      <c r="A44" s="12" t="s">
        <v>121</v>
      </c>
      <c r="B44" s="12"/>
      <c r="C44" s="12">
        <v>18</v>
      </c>
      <c r="D44" s="12">
        <v>18</v>
      </c>
      <c r="E44" s="12">
        <v>16.59</v>
      </c>
      <c r="F44" s="12">
        <v>24.82</v>
      </c>
      <c r="G44" s="12">
        <v>75.67</v>
      </c>
      <c r="H44" s="12" t="s">
        <v>293</v>
      </c>
      <c r="I44" s="12" t="s">
        <v>294</v>
      </c>
      <c r="J44" s="12" t="s">
        <v>302</v>
      </c>
      <c r="K44" s="12" t="s">
        <v>314</v>
      </c>
      <c r="L44" s="12"/>
      <c r="M44" s="12"/>
      <c r="N44" s="12" t="s">
        <v>344</v>
      </c>
      <c r="O44" s="12" t="s">
        <v>7</v>
      </c>
    </row>
    <row r="45" spans="1:15">
      <c r="A45" s="11" t="s">
        <v>122</v>
      </c>
      <c r="B45" s="11"/>
      <c r="C45" s="11">
        <v>96</v>
      </c>
      <c r="D45" s="11">
        <v>96</v>
      </c>
      <c r="E45" s="11">
        <v>19.85</v>
      </c>
      <c r="F45" s="11">
        <v>35.91</v>
      </c>
      <c r="G45" s="11">
        <v>75.73999999999999</v>
      </c>
      <c r="H45" s="11" t="s">
        <v>293</v>
      </c>
      <c r="I45" s="11" t="s">
        <v>294</v>
      </c>
      <c r="J45" s="11" t="s">
        <v>299</v>
      </c>
      <c r="K45" s="11" t="s">
        <v>315</v>
      </c>
      <c r="L45" s="11" t="s">
        <v>340</v>
      </c>
      <c r="M45" s="11" t="s">
        <v>342</v>
      </c>
      <c r="N45" s="11" t="s">
        <v>344</v>
      </c>
      <c r="O45" s="11" t="s">
        <v>6</v>
      </c>
    </row>
    <row r="46" spans="1:15">
      <c r="A46" s="12" t="s">
        <v>123</v>
      </c>
      <c r="B46" s="12"/>
      <c r="C46" s="12">
        <v>1</v>
      </c>
      <c r="D46" s="12">
        <v>1</v>
      </c>
      <c r="E46" s="12">
        <v>6.66</v>
      </c>
      <c r="F46" s="12">
        <v>43.33</v>
      </c>
      <c r="G46" s="12">
        <v>48.65</v>
      </c>
      <c r="H46" s="12" t="s">
        <v>293</v>
      </c>
      <c r="I46" s="12" t="s">
        <v>294</v>
      </c>
      <c r="J46" s="12" t="s">
        <v>301</v>
      </c>
      <c r="K46" s="12" t="s">
        <v>313</v>
      </c>
      <c r="L46" s="12" t="s">
        <v>340</v>
      </c>
      <c r="M46" s="12" t="s">
        <v>341</v>
      </c>
      <c r="N46" s="12" t="s">
        <v>344</v>
      </c>
      <c r="O46" s="12" t="s">
        <v>6</v>
      </c>
    </row>
    <row r="47" spans="1:15">
      <c r="A47" s="11" t="s">
        <v>124</v>
      </c>
      <c r="B47" s="11"/>
      <c r="C47" s="11">
        <v>0</v>
      </c>
      <c r="D47" s="11">
        <v>1</v>
      </c>
      <c r="E47" s="11">
        <v>5.92</v>
      </c>
      <c r="F47" s="11">
        <v>25.99</v>
      </c>
      <c r="G47" s="11">
        <v>37.7</v>
      </c>
      <c r="H47" s="11" t="s">
        <v>293</v>
      </c>
      <c r="I47" s="11" t="s">
        <v>294</v>
      </c>
      <c r="J47" s="11" t="s">
        <v>296</v>
      </c>
      <c r="K47" s="11" t="s">
        <v>296</v>
      </c>
      <c r="L47" s="11" t="s">
        <v>230</v>
      </c>
      <c r="M47" s="11"/>
      <c r="N47" s="11" t="s">
        <v>344</v>
      </c>
      <c r="O47" s="11" t="s">
        <v>5</v>
      </c>
    </row>
    <row r="48" spans="1:15">
      <c r="A48" s="12" t="s">
        <v>125</v>
      </c>
      <c r="B48" s="12"/>
      <c r="C48" s="12">
        <v>0</v>
      </c>
      <c r="D48" s="12">
        <v>2</v>
      </c>
      <c r="E48" s="12">
        <v>34.41</v>
      </c>
      <c r="F48" s="12">
        <v>43.65</v>
      </c>
      <c r="G48" s="12">
        <v>71.45</v>
      </c>
      <c r="H48" s="12" t="s">
        <v>293</v>
      </c>
      <c r="I48" s="12" t="s">
        <v>294</v>
      </c>
      <c r="J48" s="12" t="s">
        <v>297</v>
      </c>
      <c r="K48" s="12" t="s">
        <v>308</v>
      </c>
      <c r="L48" s="12" t="s">
        <v>230</v>
      </c>
      <c r="M48" s="12"/>
      <c r="N48" s="12" t="s">
        <v>344</v>
      </c>
      <c r="O48" s="12" t="s">
        <v>5</v>
      </c>
    </row>
    <row r="49" spans="1:15">
      <c r="A49" s="11" t="s">
        <v>126</v>
      </c>
      <c r="B49" s="11"/>
      <c r="C49" s="11">
        <v>1</v>
      </c>
      <c r="D49" s="11">
        <v>1</v>
      </c>
      <c r="E49" s="11">
        <v>10.62</v>
      </c>
      <c r="F49" s="11">
        <v>15.28</v>
      </c>
      <c r="G49" s="11">
        <v>8.82</v>
      </c>
      <c r="H49" s="11" t="s">
        <v>293</v>
      </c>
      <c r="I49" s="11" t="s">
        <v>294</v>
      </c>
      <c r="J49" s="11" t="s">
        <v>297</v>
      </c>
      <c r="K49" s="11" t="s">
        <v>308</v>
      </c>
      <c r="L49" s="11" t="s">
        <v>340</v>
      </c>
      <c r="M49" s="11" t="s">
        <v>341</v>
      </c>
      <c r="N49" s="11" t="s">
        <v>344</v>
      </c>
      <c r="O49" s="11" t="s">
        <v>6</v>
      </c>
    </row>
    <row r="50" spans="1:15">
      <c r="A50" s="12" t="s">
        <v>127</v>
      </c>
      <c r="B50" s="12"/>
      <c r="C50" s="12">
        <v>1</v>
      </c>
      <c r="D50" s="12">
        <v>0</v>
      </c>
      <c r="E50" s="12">
        <v>1.21</v>
      </c>
      <c r="F50" s="12">
        <v>23.05</v>
      </c>
      <c r="G50" s="12">
        <v>63.12</v>
      </c>
      <c r="H50" s="12" t="s">
        <v>293</v>
      </c>
      <c r="I50" s="12" t="s">
        <v>294</v>
      </c>
      <c r="J50" s="12" t="s">
        <v>297</v>
      </c>
      <c r="K50" s="12" t="s">
        <v>308</v>
      </c>
      <c r="L50" s="12" t="s">
        <v>340</v>
      </c>
      <c r="M50" s="12" t="s">
        <v>341</v>
      </c>
      <c r="N50" s="12" t="s">
        <v>344</v>
      </c>
      <c r="O50" s="12" t="s">
        <v>6</v>
      </c>
    </row>
    <row r="51" spans="1:15">
      <c r="A51" s="11" t="s">
        <v>128</v>
      </c>
      <c r="B51" s="11"/>
      <c r="C51" s="11">
        <v>1</v>
      </c>
      <c r="D51" s="11">
        <v>0</v>
      </c>
      <c r="E51" s="11">
        <v>1.55</v>
      </c>
      <c r="F51" s="11">
        <v>5.07</v>
      </c>
      <c r="G51" s="11">
        <v>3.4</v>
      </c>
      <c r="H51" s="11" t="s">
        <v>293</v>
      </c>
      <c r="I51" s="11" t="s">
        <v>294</v>
      </c>
      <c r="J51" s="11" t="s">
        <v>297</v>
      </c>
      <c r="K51" s="11" t="s">
        <v>308</v>
      </c>
      <c r="L51" s="11" t="s">
        <v>340</v>
      </c>
      <c r="M51" s="11" t="s">
        <v>342</v>
      </c>
      <c r="N51" s="11" t="s">
        <v>344</v>
      </c>
      <c r="O51" s="11" t="s">
        <v>6</v>
      </c>
    </row>
    <row r="52" spans="1:15">
      <c r="A52" s="12" t="s">
        <v>129</v>
      </c>
      <c r="B52" s="12"/>
      <c r="C52" s="12">
        <v>1</v>
      </c>
      <c r="D52" s="12">
        <v>0</v>
      </c>
      <c r="E52" s="12">
        <v>0</v>
      </c>
      <c r="F52" s="12">
        <v>0</v>
      </c>
      <c r="G52" s="12">
        <v>0</v>
      </c>
      <c r="H52" s="12" t="s">
        <v>293</v>
      </c>
      <c r="I52" s="12" t="s">
        <v>294</v>
      </c>
      <c r="J52" s="12" t="s">
        <v>298</v>
      </c>
      <c r="K52" s="12" t="s">
        <v>310</v>
      </c>
      <c r="L52" s="12" t="s">
        <v>340</v>
      </c>
      <c r="M52" s="12" t="s">
        <v>342</v>
      </c>
      <c r="N52" s="12" t="s">
        <v>344</v>
      </c>
      <c r="O52" s="12" t="s">
        <v>6</v>
      </c>
    </row>
    <row r="53" spans="1:15">
      <c r="A53" s="11" t="s">
        <v>130</v>
      </c>
      <c r="B53" s="11"/>
      <c r="C53" s="11">
        <v>0</v>
      </c>
      <c r="D53" s="11">
        <v>2</v>
      </c>
      <c r="E53" s="11">
        <v>7.49</v>
      </c>
      <c r="F53" s="11">
        <v>97.51000000000001</v>
      </c>
      <c r="G53" s="11">
        <v>90.65000000000001</v>
      </c>
      <c r="H53" s="11" t="s">
        <v>293</v>
      </c>
      <c r="I53" s="11" t="s">
        <v>294</v>
      </c>
      <c r="J53" s="11" t="s">
        <v>297</v>
      </c>
      <c r="K53" s="11" t="s">
        <v>308</v>
      </c>
      <c r="L53" s="11" t="s">
        <v>230</v>
      </c>
      <c r="M53" s="11"/>
      <c r="N53" s="11" t="s">
        <v>344</v>
      </c>
      <c r="O53" s="11" t="s">
        <v>5</v>
      </c>
    </row>
    <row r="54" spans="1:15">
      <c r="A54" s="12" t="s">
        <v>131</v>
      </c>
      <c r="B54" s="12"/>
      <c r="C54" s="12">
        <v>1</v>
      </c>
      <c r="D54" s="12">
        <v>0</v>
      </c>
      <c r="E54" s="12">
        <v>7.55</v>
      </c>
      <c r="F54" s="12">
        <v>31.51</v>
      </c>
      <c r="G54" s="12">
        <v>56.79</v>
      </c>
      <c r="H54" s="12" t="s">
        <v>293</v>
      </c>
      <c r="I54" s="12" t="s">
        <v>295</v>
      </c>
      <c r="J54" s="12" t="s">
        <v>298</v>
      </c>
      <c r="K54" s="12" t="s">
        <v>310</v>
      </c>
      <c r="L54" s="12" t="s">
        <v>340</v>
      </c>
      <c r="M54" s="12" t="s">
        <v>341</v>
      </c>
      <c r="N54" s="12" t="s">
        <v>344</v>
      </c>
      <c r="O54" s="12" t="s">
        <v>6</v>
      </c>
    </row>
    <row r="55" spans="1:15">
      <c r="A55" s="11" t="s">
        <v>132</v>
      </c>
      <c r="B55" s="11"/>
      <c r="C55" s="11">
        <v>5</v>
      </c>
      <c r="D55" s="11">
        <v>5</v>
      </c>
      <c r="E55" s="11">
        <v>8.880000000000001</v>
      </c>
      <c r="F55" s="11">
        <v>20.97</v>
      </c>
      <c r="G55" s="11">
        <v>89.70999999999999</v>
      </c>
      <c r="H55" s="11"/>
      <c r="I55" s="11"/>
      <c r="J55" s="11"/>
      <c r="K55" s="11"/>
      <c r="L55" s="11"/>
      <c r="M55" s="11"/>
      <c r="N55" s="11" t="s">
        <v>344</v>
      </c>
      <c r="O55" s="11" t="s">
        <v>7</v>
      </c>
    </row>
    <row r="56" spans="1:15">
      <c r="A56" s="12" t="s">
        <v>133</v>
      </c>
      <c r="B56" s="12"/>
      <c r="C56" s="12">
        <v>0</v>
      </c>
      <c r="D56" s="12">
        <v>2</v>
      </c>
      <c r="E56" s="12">
        <v>1.69</v>
      </c>
      <c r="F56" s="12">
        <v>36.61</v>
      </c>
      <c r="G56" s="12">
        <v>29.98</v>
      </c>
      <c r="H56" s="12" t="s">
        <v>293</v>
      </c>
      <c r="I56" s="12" t="s">
        <v>294</v>
      </c>
      <c r="J56" s="12" t="s">
        <v>297</v>
      </c>
      <c r="K56" s="12" t="s">
        <v>308</v>
      </c>
      <c r="L56" s="12" t="s">
        <v>230</v>
      </c>
      <c r="M56" s="12"/>
      <c r="N56" s="12" t="s">
        <v>344</v>
      </c>
      <c r="O56" s="12" t="s">
        <v>5</v>
      </c>
    </row>
    <row r="57" spans="1:15">
      <c r="A57" s="11" t="s">
        <v>134</v>
      </c>
      <c r="B57" s="11"/>
      <c r="C57" s="11">
        <v>2</v>
      </c>
      <c r="D57" s="11">
        <v>0</v>
      </c>
      <c r="E57" s="11">
        <v>4.07</v>
      </c>
      <c r="F57" s="11">
        <v>12.63</v>
      </c>
      <c r="G57" s="11">
        <v>18.86</v>
      </c>
      <c r="H57" s="11" t="s">
        <v>293</v>
      </c>
      <c r="I57" s="11" t="s">
        <v>294</v>
      </c>
      <c r="J57" s="11" t="s">
        <v>297</v>
      </c>
      <c r="K57" s="11" t="s">
        <v>308</v>
      </c>
      <c r="L57" s="11" t="s">
        <v>230</v>
      </c>
      <c r="M57" s="11"/>
      <c r="N57" s="11" t="s">
        <v>344</v>
      </c>
      <c r="O57" s="11" t="s">
        <v>5</v>
      </c>
    </row>
    <row r="58" spans="1:15">
      <c r="A58" s="12" t="s">
        <v>135</v>
      </c>
      <c r="B58" s="12"/>
      <c r="C58" s="12">
        <v>0</v>
      </c>
      <c r="D58" s="12">
        <v>2</v>
      </c>
      <c r="E58" s="12">
        <v>1.5</v>
      </c>
      <c r="F58" s="12">
        <v>35.23</v>
      </c>
      <c r="G58" s="12">
        <v>29.32</v>
      </c>
      <c r="H58" s="12" t="s">
        <v>293</v>
      </c>
      <c r="I58" s="12" t="s">
        <v>294</v>
      </c>
      <c r="J58" s="12" t="s">
        <v>297</v>
      </c>
      <c r="K58" s="12" t="s">
        <v>308</v>
      </c>
      <c r="L58" s="12" t="s">
        <v>230</v>
      </c>
      <c r="M58" s="12"/>
      <c r="N58" s="12" t="s">
        <v>344</v>
      </c>
      <c r="O58" s="12" t="s">
        <v>5</v>
      </c>
    </row>
    <row r="59" spans="1:15">
      <c r="A59" s="11" t="s">
        <v>136</v>
      </c>
      <c r="B59" s="11"/>
      <c r="C59" s="11">
        <v>3</v>
      </c>
      <c r="D59" s="11">
        <v>0</v>
      </c>
      <c r="E59" s="11">
        <v>8.07</v>
      </c>
      <c r="F59" s="11">
        <v>0</v>
      </c>
      <c r="G59" s="11">
        <v>0</v>
      </c>
      <c r="H59" s="11" t="s">
        <v>293</v>
      </c>
      <c r="I59" s="11"/>
      <c r="J59" s="11"/>
      <c r="K59" s="11"/>
      <c r="L59" s="11" t="s">
        <v>339</v>
      </c>
      <c r="M59" s="11"/>
      <c r="N59" s="11" t="s">
        <v>344</v>
      </c>
      <c r="O59" s="11" t="s">
        <v>4</v>
      </c>
    </row>
    <row r="60" spans="1:15">
      <c r="A60" s="12" t="s">
        <v>137</v>
      </c>
      <c r="B60" s="12"/>
      <c r="C60" s="12">
        <v>0</v>
      </c>
      <c r="D60" s="12">
        <v>2</v>
      </c>
      <c r="E60" s="12">
        <v>6.79</v>
      </c>
      <c r="F60" s="12">
        <v>54.09</v>
      </c>
      <c r="G60" s="12">
        <v>36.3</v>
      </c>
      <c r="H60" s="12" t="s">
        <v>293</v>
      </c>
      <c r="I60" s="12" t="s">
        <v>294</v>
      </c>
      <c r="J60" s="12" t="s">
        <v>296</v>
      </c>
      <c r="K60" s="12" t="s">
        <v>296</v>
      </c>
      <c r="L60" s="12" t="s">
        <v>230</v>
      </c>
      <c r="M60" s="12"/>
      <c r="N60" s="12" t="s">
        <v>344</v>
      </c>
      <c r="O60" s="12" t="s">
        <v>5</v>
      </c>
    </row>
    <row r="61" spans="1:15">
      <c r="A61" s="11" t="s">
        <v>138</v>
      </c>
      <c r="B61" s="11"/>
      <c r="C61" s="11">
        <v>3</v>
      </c>
      <c r="D61" s="11">
        <v>0</v>
      </c>
      <c r="E61" s="11">
        <v>9.98</v>
      </c>
      <c r="F61" s="11">
        <v>84.48</v>
      </c>
      <c r="G61" s="11">
        <v>99.8</v>
      </c>
      <c r="H61" s="11" t="s">
        <v>293</v>
      </c>
      <c r="I61" s="11" t="s">
        <v>294</v>
      </c>
      <c r="J61" s="11" t="s">
        <v>297</v>
      </c>
      <c r="K61" s="11" t="s">
        <v>308</v>
      </c>
      <c r="L61" s="11" t="s">
        <v>230</v>
      </c>
      <c r="M61" s="11"/>
      <c r="N61" s="11" t="s">
        <v>344</v>
      </c>
      <c r="O61" s="11" t="s">
        <v>5</v>
      </c>
    </row>
    <row r="62" spans="1:15">
      <c r="A62" s="12" t="s">
        <v>139</v>
      </c>
      <c r="B62" s="12"/>
      <c r="C62" s="12">
        <v>2</v>
      </c>
      <c r="D62" s="12">
        <v>2</v>
      </c>
      <c r="E62" s="12">
        <v>8.74</v>
      </c>
      <c r="F62" s="12">
        <v>40.78</v>
      </c>
      <c r="G62" s="12">
        <v>9.44</v>
      </c>
      <c r="H62" s="12"/>
      <c r="I62" s="12"/>
      <c r="J62" s="12"/>
      <c r="K62" s="12"/>
      <c r="L62" s="12"/>
      <c r="M62" s="12"/>
      <c r="N62" s="12" t="s">
        <v>344</v>
      </c>
      <c r="O62" s="12" t="s">
        <v>7</v>
      </c>
    </row>
    <row r="63" spans="1:15">
      <c r="A63" s="11" t="s">
        <v>140</v>
      </c>
      <c r="B63" s="11"/>
      <c r="C63" s="11">
        <v>2</v>
      </c>
      <c r="D63" s="11">
        <v>0</v>
      </c>
      <c r="E63" s="11">
        <v>7.72</v>
      </c>
      <c r="F63" s="11">
        <v>67.28</v>
      </c>
      <c r="G63" s="11">
        <v>72.84999999999999</v>
      </c>
      <c r="H63" s="11" t="s">
        <v>293</v>
      </c>
      <c r="I63" s="11" t="s">
        <v>294</v>
      </c>
      <c r="J63" s="11" t="s">
        <v>296</v>
      </c>
      <c r="K63" s="11" t="s">
        <v>296</v>
      </c>
      <c r="L63" s="11" t="s">
        <v>230</v>
      </c>
      <c r="M63" s="11"/>
      <c r="N63" s="11" t="s">
        <v>344</v>
      </c>
      <c r="O63" s="11" t="s">
        <v>5</v>
      </c>
    </row>
    <row r="64" spans="1:15">
      <c r="A64" s="12" t="s">
        <v>141</v>
      </c>
      <c r="B64" s="12"/>
      <c r="C64" s="12">
        <v>8</v>
      </c>
      <c r="D64" s="12">
        <v>0</v>
      </c>
      <c r="E64" s="12">
        <v>8.119999999999999</v>
      </c>
      <c r="F64" s="12">
        <v>33.49</v>
      </c>
      <c r="G64" s="12">
        <v>32.19</v>
      </c>
      <c r="H64" s="12" t="s">
        <v>293</v>
      </c>
      <c r="I64" s="12" t="s">
        <v>294</v>
      </c>
      <c r="J64" s="12" t="s">
        <v>297</v>
      </c>
      <c r="K64" s="12" t="s">
        <v>308</v>
      </c>
      <c r="L64" s="12" t="s">
        <v>230</v>
      </c>
      <c r="M64" s="12"/>
      <c r="N64" s="12" t="s">
        <v>344</v>
      </c>
      <c r="O64" s="12" t="s">
        <v>5</v>
      </c>
    </row>
    <row r="65" spans="1:15">
      <c r="A65" s="11" t="s">
        <v>142</v>
      </c>
      <c r="B65" s="11"/>
      <c r="C65" s="11">
        <v>1</v>
      </c>
      <c r="D65" s="11">
        <v>1</v>
      </c>
      <c r="E65" s="11">
        <v>2.32</v>
      </c>
      <c r="F65" s="11">
        <v>18.23</v>
      </c>
      <c r="G65" s="11">
        <v>34.31</v>
      </c>
      <c r="H65" s="11" t="s">
        <v>293</v>
      </c>
      <c r="I65" s="11" t="s">
        <v>294</v>
      </c>
      <c r="J65" s="11" t="s">
        <v>305</v>
      </c>
      <c r="K65" s="11" t="s">
        <v>321</v>
      </c>
      <c r="L65" s="11" t="s">
        <v>230</v>
      </c>
      <c r="M65" s="11"/>
      <c r="N65" s="11" t="s">
        <v>344</v>
      </c>
      <c r="O65" s="11" t="s">
        <v>5</v>
      </c>
    </row>
    <row r="66" spans="1:15">
      <c r="A66" s="12" t="s">
        <v>143</v>
      </c>
      <c r="B66" s="12"/>
      <c r="C66" s="12">
        <v>1</v>
      </c>
      <c r="D66" s="12">
        <v>0</v>
      </c>
      <c r="E66" s="12">
        <v>2.54</v>
      </c>
      <c r="F66" s="12">
        <v>0</v>
      </c>
      <c r="G66" s="12">
        <v>0</v>
      </c>
      <c r="H66" s="12"/>
      <c r="I66" s="12"/>
      <c r="J66" s="12"/>
      <c r="K66" s="12"/>
      <c r="L66" s="12"/>
      <c r="M66" s="12"/>
      <c r="N66" s="12" t="s">
        <v>344</v>
      </c>
      <c r="O66" s="12" t="s">
        <v>7</v>
      </c>
    </row>
    <row r="67" spans="1:15">
      <c r="A67" s="11" t="s">
        <v>144</v>
      </c>
      <c r="B67" s="11"/>
      <c r="C67" s="11">
        <v>1</v>
      </c>
      <c r="D67" s="11">
        <v>0</v>
      </c>
      <c r="E67" s="11">
        <v>1.83</v>
      </c>
      <c r="F67" s="11">
        <v>0</v>
      </c>
      <c r="G67" s="11">
        <v>0</v>
      </c>
      <c r="H67" s="11"/>
      <c r="I67" s="11"/>
      <c r="J67" s="11"/>
      <c r="K67" s="11"/>
      <c r="L67" s="11"/>
      <c r="M67" s="11"/>
      <c r="N67" s="11" t="s">
        <v>344</v>
      </c>
      <c r="O67" s="11" t="s">
        <v>7</v>
      </c>
    </row>
    <row r="68" spans="1:15">
      <c r="A68" s="12" t="s">
        <v>145</v>
      </c>
      <c r="B68" s="12"/>
      <c r="C68" s="12">
        <v>1</v>
      </c>
      <c r="D68" s="12">
        <v>0</v>
      </c>
      <c r="E68" s="12">
        <v>1.89</v>
      </c>
      <c r="F68" s="12">
        <v>0</v>
      </c>
      <c r="G68" s="12">
        <v>0</v>
      </c>
      <c r="H68" s="12"/>
      <c r="I68" s="12"/>
      <c r="J68" s="12"/>
      <c r="K68" s="12"/>
      <c r="L68" s="12"/>
      <c r="M68" s="12"/>
      <c r="N68" s="12" t="s">
        <v>344</v>
      </c>
      <c r="O68" s="12" t="s">
        <v>7</v>
      </c>
    </row>
    <row r="69" spans="1:15">
      <c r="A69" s="11" t="s">
        <v>146</v>
      </c>
      <c r="B69" s="11"/>
      <c r="C69" s="11">
        <v>1</v>
      </c>
      <c r="D69" s="11">
        <v>0</v>
      </c>
      <c r="E69" s="11">
        <v>1.96</v>
      </c>
      <c r="F69" s="11">
        <v>0</v>
      </c>
      <c r="G69" s="11">
        <v>0</v>
      </c>
      <c r="H69" s="11"/>
      <c r="I69" s="11"/>
      <c r="J69" s="11"/>
      <c r="K69" s="11"/>
      <c r="L69" s="11"/>
      <c r="M69" s="11"/>
      <c r="N69" s="11" t="s">
        <v>344</v>
      </c>
      <c r="O69" s="11" t="s">
        <v>7</v>
      </c>
    </row>
    <row r="70" spans="1:15">
      <c r="A70" s="12" t="s">
        <v>147</v>
      </c>
      <c r="B70" s="12"/>
      <c r="C70" s="12">
        <v>1</v>
      </c>
      <c r="D70" s="12">
        <v>0</v>
      </c>
      <c r="E70" s="12">
        <v>1.37</v>
      </c>
      <c r="F70" s="12">
        <v>22.07</v>
      </c>
      <c r="G70" s="12">
        <v>20.14</v>
      </c>
      <c r="H70" s="12"/>
      <c r="I70" s="12"/>
      <c r="J70" s="12"/>
      <c r="K70" s="12"/>
      <c r="L70" s="12"/>
      <c r="M70" s="12"/>
      <c r="N70" s="12" t="s">
        <v>344</v>
      </c>
      <c r="O70" s="12" t="s">
        <v>7</v>
      </c>
    </row>
    <row r="71" spans="1:15">
      <c r="A71" s="11" t="s">
        <v>148</v>
      </c>
      <c r="B71" s="11"/>
      <c r="C71" s="11">
        <v>1</v>
      </c>
      <c r="D71" s="11">
        <v>0</v>
      </c>
      <c r="E71" s="11">
        <v>1.62</v>
      </c>
      <c r="F71" s="11">
        <v>15.94</v>
      </c>
      <c r="G71" s="11">
        <v>11.41</v>
      </c>
      <c r="H71" s="11"/>
      <c r="I71" s="11"/>
      <c r="J71" s="11"/>
      <c r="K71" s="11"/>
      <c r="L71" s="11"/>
      <c r="M71" s="11"/>
      <c r="N71" s="11" t="s">
        <v>344</v>
      </c>
      <c r="O71" s="11" t="s">
        <v>7</v>
      </c>
    </row>
    <row r="72" spans="1:15">
      <c r="A72" s="12" t="s">
        <v>149</v>
      </c>
      <c r="B72" s="12"/>
      <c r="C72" s="12">
        <v>1</v>
      </c>
      <c r="D72" s="12">
        <v>0</v>
      </c>
      <c r="E72" s="12">
        <v>0.21</v>
      </c>
      <c r="F72" s="12">
        <v>10.46</v>
      </c>
      <c r="G72" s="12">
        <v>10.48</v>
      </c>
      <c r="H72" s="12"/>
      <c r="I72" s="12"/>
      <c r="J72" s="12"/>
      <c r="K72" s="12"/>
      <c r="L72" s="12"/>
      <c r="M72" s="12"/>
      <c r="N72" s="12" t="s">
        <v>344</v>
      </c>
      <c r="O72" s="12" t="s">
        <v>7</v>
      </c>
    </row>
    <row r="73" spans="1:15">
      <c r="A73" s="11" t="s">
        <v>150</v>
      </c>
      <c r="B73" s="11"/>
      <c r="C73" s="11">
        <v>1</v>
      </c>
      <c r="D73" s="11">
        <v>0</v>
      </c>
      <c r="E73" s="11">
        <v>0.52</v>
      </c>
      <c r="F73" s="11">
        <v>16.8</v>
      </c>
      <c r="G73" s="11">
        <v>10.76</v>
      </c>
      <c r="H73" s="11"/>
      <c r="I73" s="11"/>
      <c r="J73" s="11"/>
      <c r="K73" s="11"/>
      <c r="L73" s="11"/>
      <c r="M73" s="11"/>
      <c r="N73" s="11" t="s">
        <v>344</v>
      </c>
      <c r="O73" s="11" t="s">
        <v>7</v>
      </c>
    </row>
    <row r="74" spans="1:15">
      <c r="A74" s="12" t="s">
        <v>151</v>
      </c>
      <c r="B74" s="12"/>
      <c r="C74" s="12">
        <v>1</v>
      </c>
      <c r="D74" s="12">
        <v>0</v>
      </c>
      <c r="E74" s="12">
        <v>6.33</v>
      </c>
      <c r="F74" s="12">
        <v>30.13</v>
      </c>
      <c r="G74" s="12">
        <v>59.21</v>
      </c>
      <c r="H74" s="12"/>
      <c r="I74" s="12"/>
      <c r="J74" s="12"/>
      <c r="K74" s="12"/>
      <c r="L74" s="12"/>
      <c r="M74" s="12"/>
      <c r="N74" s="12" t="s">
        <v>344</v>
      </c>
      <c r="O74" s="12" t="s">
        <v>7</v>
      </c>
    </row>
    <row r="75" spans="1:15">
      <c r="A75" s="11" t="s">
        <v>152</v>
      </c>
      <c r="B75" s="11"/>
      <c r="C75" s="11">
        <v>0</v>
      </c>
      <c r="D75" s="11">
        <v>1</v>
      </c>
      <c r="E75" s="11">
        <v>10.49</v>
      </c>
      <c r="F75" s="11">
        <v>36.82</v>
      </c>
      <c r="G75" s="11">
        <v>60.57</v>
      </c>
      <c r="H75" s="11"/>
      <c r="I75" s="11"/>
      <c r="J75" s="11"/>
      <c r="K75" s="11"/>
      <c r="L75" s="11"/>
      <c r="M75" s="11"/>
      <c r="N75" s="11" t="s">
        <v>344</v>
      </c>
      <c r="O75" s="11" t="s">
        <v>7</v>
      </c>
    </row>
    <row r="76" spans="1:15">
      <c r="A76" s="12" t="s">
        <v>153</v>
      </c>
      <c r="B76" s="12"/>
      <c r="C76" s="12">
        <v>1</v>
      </c>
      <c r="D76" s="12">
        <v>1</v>
      </c>
      <c r="E76" s="12">
        <v>8.26</v>
      </c>
      <c r="F76" s="12">
        <v>45.45</v>
      </c>
      <c r="G76" s="12">
        <v>5.05</v>
      </c>
      <c r="H76" s="12" t="s">
        <v>293</v>
      </c>
      <c r="I76" s="12" t="s">
        <v>294</v>
      </c>
      <c r="J76" s="12" t="s">
        <v>304</v>
      </c>
      <c r="K76" s="12" t="s">
        <v>322</v>
      </c>
      <c r="L76" s="12" t="s">
        <v>340</v>
      </c>
      <c r="M76" s="12" t="s">
        <v>342</v>
      </c>
      <c r="N76" s="12" t="s">
        <v>344</v>
      </c>
      <c r="O76" s="12" t="s">
        <v>6</v>
      </c>
    </row>
    <row r="77" spans="1:15">
      <c r="A77" s="11" t="s">
        <v>154</v>
      </c>
      <c r="B77" s="11"/>
      <c r="C77" s="11">
        <v>6</v>
      </c>
      <c r="D77" s="11">
        <v>6</v>
      </c>
      <c r="E77" s="11">
        <v>8.74</v>
      </c>
      <c r="F77" s="11">
        <v>37.74</v>
      </c>
      <c r="G77" s="11">
        <v>57.94</v>
      </c>
      <c r="H77" s="11" t="s">
        <v>293</v>
      </c>
      <c r="I77" s="11" t="s">
        <v>294</v>
      </c>
      <c r="J77" s="11" t="s">
        <v>300</v>
      </c>
      <c r="K77" s="11" t="s">
        <v>312</v>
      </c>
      <c r="L77" s="11" t="s">
        <v>340</v>
      </c>
      <c r="M77" s="11" t="s">
        <v>342</v>
      </c>
      <c r="N77" s="11" t="s">
        <v>344</v>
      </c>
      <c r="O77" s="11" t="s">
        <v>6</v>
      </c>
    </row>
    <row r="78" spans="1:15">
      <c r="A78" s="12" t="s">
        <v>155</v>
      </c>
      <c r="B78" s="12"/>
      <c r="C78" s="12">
        <v>1</v>
      </c>
      <c r="D78" s="12">
        <v>1</v>
      </c>
      <c r="E78" s="12">
        <v>11.45</v>
      </c>
      <c r="F78" s="12">
        <v>63.38</v>
      </c>
      <c r="G78" s="12">
        <v>9.609999999999999</v>
      </c>
      <c r="H78" s="12" t="s">
        <v>293</v>
      </c>
      <c r="I78" s="12" t="s">
        <v>294</v>
      </c>
      <c r="J78" s="12" t="s">
        <v>301</v>
      </c>
      <c r="K78" s="12" t="s">
        <v>323</v>
      </c>
      <c r="L78" s="12" t="s">
        <v>340</v>
      </c>
      <c r="M78" s="12" t="s">
        <v>341</v>
      </c>
      <c r="N78" s="12" t="s">
        <v>344</v>
      </c>
      <c r="O78" s="12" t="s">
        <v>6</v>
      </c>
    </row>
    <row r="79" spans="1:15">
      <c r="A79" s="11" t="s">
        <v>156</v>
      </c>
      <c r="B79" s="11"/>
      <c r="C79" s="11">
        <v>9</v>
      </c>
      <c r="D79" s="11">
        <v>8</v>
      </c>
      <c r="E79" s="11">
        <v>11.76</v>
      </c>
      <c r="F79" s="11">
        <v>53.43</v>
      </c>
      <c r="G79" s="11">
        <v>17.65</v>
      </c>
      <c r="H79" s="11" t="s">
        <v>293</v>
      </c>
      <c r="I79" s="11" t="s">
        <v>294</v>
      </c>
      <c r="J79" s="11" t="s">
        <v>302</v>
      </c>
      <c r="K79" s="11" t="s">
        <v>324</v>
      </c>
      <c r="L79" s="11" t="s">
        <v>340</v>
      </c>
      <c r="M79" s="11" t="s">
        <v>341</v>
      </c>
      <c r="N79" s="11" t="s">
        <v>344</v>
      </c>
      <c r="O79" s="11" t="s">
        <v>6</v>
      </c>
    </row>
    <row r="80" spans="1:15">
      <c r="A80" s="12" t="s">
        <v>157</v>
      </c>
      <c r="B80" s="12"/>
      <c r="C80" s="12">
        <v>2</v>
      </c>
      <c r="D80" s="12">
        <v>3</v>
      </c>
      <c r="E80" s="12">
        <v>32.77</v>
      </c>
      <c r="F80" s="12">
        <v>48.17</v>
      </c>
      <c r="G80" s="12">
        <v>78</v>
      </c>
      <c r="H80" s="12" t="s">
        <v>293</v>
      </c>
      <c r="I80" s="12" t="s">
        <v>294</v>
      </c>
      <c r="J80" s="12" t="s">
        <v>303</v>
      </c>
      <c r="K80" s="12" t="s">
        <v>325</v>
      </c>
      <c r="L80" s="12" t="s">
        <v>340</v>
      </c>
      <c r="M80" s="12" t="s">
        <v>341</v>
      </c>
      <c r="N80" s="12" t="s">
        <v>344</v>
      </c>
      <c r="O80" s="12" t="s">
        <v>6</v>
      </c>
    </row>
    <row r="81" spans="1:15">
      <c r="A81" s="11" t="s">
        <v>158</v>
      </c>
      <c r="B81" s="11"/>
      <c r="C81" s="11">
        <v>1</v>
      </c>
      <c r="D81" s="11">
        <v>1</v>
      </c>
      <c r="E81" s="11">
        <v>11.38</v>
      </c>
      <c r="F81" s="11">
        <v>60.26</v>
      </c>
      <c r="G81" s="11">
        <v>58.23</v>
      </c>
      <c r="H81" s="11" t="s">
        <v>293</v>
      </c>
      <c r="I81" s="11" t="s">
        <v>294</v>
      </c>
      <c r="J81" s="11" t="s">
        <v>302</v>
      </c>
      <c r="K81" s="11" t="s">
        <v>326</v>
      </c>
      <c r="L81" s="11" t="s">
        <v>340</v>
      </c>
      <c r="M81" s="11" t="s">
        <v>341</v>
      </c>
      <c r="N81" s="11" t="s">
        <v>344</v>
      </c>
      <c r="O81" s="11" t="s">
        <v>6</v>
      </c>
    </row>
    <row r="82" spans="1:15">
      <c r="A82" s="12" t="s">
        <v>159</v>
      </c>
      <c r="B82" s="12"/>
      <c r="C82" s="12">
        <v>1</v>
      </c>
      <c r="D82" s="12">
        <v>0</v>
      </c>
      <c r="E82" s="12">
        <v>9.710000000000001</v>
      </c>
      <c r="F82" s="12">
        <v>36.44</v>
      </c>
      <c r="G82" s="12">
        <v>10.66</v>
      </c>
      <c r="H82" s="12" t="s">
        <v>293</v>
      </c>
      <c r="I82" s="12" t="s">
        <v>294</v>
      </c>
      <c r="J82" s="12" t="s">
        <v>302</v>
      </c>
      <c r="K82" s="12" t="s">
        <v>326</v>
      </c>
      <c r="L82" s="12" t="s">
        <v>340</v>
      </c>
      <c r="M82" s="12" t="s">
        <v>341</v>
      </c>
      <c r="N82" s="12" t="s">
        <v>344</v>
      </c>
      <c r="O82" s="12" t="s">
        <v>6</v>
      </c>
    </row>
    <row r="83" spans="1:15">
      <c r="A83" s="11" t="s">
        <v>160</v>
      </c>
      <c r="B83" s="11"/>
      <c r="C83" s="11">
        <v>1</v>
      </c>
      <c r="D83" s="11">
        <v>1</v>
      </c>
      <c r="E83" s="11">
        <v>5.25</v>
      </c>
      <c r="F83" s="11">
        <v>25.58</v>
      </c>
      <c r="G83" s="11">
        <v>14.72</v>
      </c>
      <c r="H83" s="11" t="s">
        <v>293</v>
      </c>
      <c r="I83" s="11" t="s">
        <v>294</v>
      </c>
      <c r="J83" s="11" t="s">
        <v>302</v>
      </c>
      <c r="K83" s="11" t="s">
        <v>326</v>
      </c>
      <c r="L83" s="11" t="s">
        <v>340</v>
      </c>
      <c r="M83" s="11" t="s">
        <v>341</v>
      </c>
      <c r="N83" s="11" t="s">
        <v>344</v>
      </c>
      <c r="O83" s="11" t="s">
        <v>6</v>
      </c>
    </row>
    <row r="84" spans="1:15">
      <c r="A84" s="12" t="s">
        <v>161</v>
      </c>
      <c r="B84" s="12"/>
      <c r="C84" s="12">
        <v>9</v>
      </c>
      <c r="D84" s="12">
        <v>9</v>
      </c>
      <c r="E84" s="12">
        <v>15.48</v>
      </c>
      <c r="F84" s="12">
        <v>57.52</v>
      </c>
      <c r="G84" s="12">
        <v>39.75</v>
      </c>
      <c r="H84" s="12" t="s">
        <v>293</v>
      </c>
      <c r="I84" s="12" t="s">
        <v>294</v>
      </c>
      <c r="J84" s="12" t="s">
        <v>301</v>
      </c>
      <c r="K84" s="12" t="s">
        <v>316</v>
      </c>
      <c r="L84" s="12" t="s">
        <v>340</v>
      </c>
      <c r="M84" s="12" t="s">
        <v>342</v>
      </c>
      <c r="N84" s="12" t="s">
        <v>344</v>
      </c>
      <c r="O84" s="12" t="s">
        <v>6</v>
      </c>
    </row>
    <row r="85" spans="1:15">
      <c r="A85" s="11" t="s">
        <v>162</v>
      </c>
      <c r="B85" s="11"/>
      <c r="C85" s="11">
        <v>1</v>
      </c>
      <c r="D85" s="11">
        <v>2</v>
      </c>
      <c r="E85" s="11">
        <v>26.92</v>
      </c>
      <c r="F85" s="11">
        <v>77.73999999999999</v>
      </c>
      <c r="G85" s="11">
        <v>76.78</v>
      </c>
      <c r="H85" s="11" t="s">
        <v>293</v>
      </c>
      <c r="I85" s="11" t="s">
        <v>294</v>
      </c>
      <c r="J85" s="11" t="s">
        <v>302</v>
      </c>
      <c r="K85" s="11" t="s">
        <v>327</v>
      </c>
      <c r="L85" s="11" t="s">
        <v>340</v>
      </c>
      <c r="M85" s="11" t="s">
        <v>341</v>
      </c>
      <c r="N85" s="11" t="s">
        <v>344</v>
      </c>
      <c r="O85" s="11" t="s">
        <v>6</v>
      </c>
    </row>
    <row r="86" spans="1:15">
      <c r="A86" s="12" t="s">
        <v>163</v>
      </c>
      <c r="B86" s="12"/>
      <c r="C86" s="12">
        <v>16</v>
      </c>
      <c r="D86" s="12">
        <v>16</v>
      </c>
      <c r="E86" s="12">
        <v>12.83</v>
      </c>
      <c r="F86" s="12">
        <v>31.16</v>
      </c>
      <c r="G86" s="12">
        <v>43.82</v>
      </c>
      <c r="H86" s="12" t="s">
        <v>293</v>
      </c>
      <c r="I86" s="12" t="s">
        <v>294</v>
      </c>
      <c r="J86" s="12" t="s">
        <v>303</v>
      </c>
      <c r="K86" s="12" t="s">
        <v>328</v>
      </c>
      <c r="L86" s="12" t="s">
        <v>340</v>
      </c>
      <c r="M86" s="12" t="s">
        <v>341</v>
      </c>
      <c r="N86" s="12" t="s">
        <v>344</v>
      </c>
      <c r="O86" s="12" t="s">
        <v>6</v>
      </c>
    </row>
    <row r="87" spans="1:15">
      <c r="A87" s="11" t="s">
        <v>164</v>
      </c>
      <c r="B87" s="11" t="s">
        <v>292</v>
      </c>
      <c r="C87" s="11">
        <v>50</v>
      </c>
      <c r="D87" s="11">
        <v>51</v>
      </c>
      <c r="E87" s="11">
        <v>34.27</v>
      </c>
      <c r="F87" s="11">
        <v>80.42</v>
      </c>
      <c r="G87" s="11">
        <v>68.25</v>
      </c>
      <c r="H87" s="11" t="s">
        <v>293</v>
      </c>
      <c r="I87" s="11" t="s">
        <v>294</v>
      </c>
      <c r="J87" s="11" t="s">
        <v>301</v>
      </c>
      <c r="K87" s="11" t="s">
        <v>316</v>
      </c>
      <c r="L87" s="11" t="s">
        <v>340</v>
      </c>
      <c r="M87" s="11" t="s">
        <v>341</v>
      </c>
      <c r="N87" s="11" t="s">
        <v>344</v>
      </c>
      <c r="O87" s="11" t="s">
        <v>6</v>
      </c>
    </row>
    <row r="88" spans="1:15">
      <c r="A88" s="12" t="s">
        <v>165</v>
      </c>
      <c r="B88" s="12"/>
      <c r="C88" s="12">
        <v>11</v>
      </c>
      <c r="D88" s="12">
        <v>11</v>
      </c>
      <c r="E88" s="12">
        <v>34.55</v>
      </c>
      <c r="F88" s="12">
        <v>53.3</v>
      </c>
      <c r="G88" s="12">
        <v>17.58</v>
      </c>
      <c r="H88" s="12" t="s">
        <v>293</v>
      </c>
      <c r="I88" s="12" t="s">
        <v>294</v>
      </c>
      <c r="J88" s="12" t="s">
        <v>300</v>
      </c>
      <c r="K88" s="12" t="s">
        <v>329</v>
      </c>
      <c r="L88" s="12" t="s">
        <v>340</v>
      </c>
      <c r="M88" s="12" t="s">
        <v>341</v>
      </c>
      <c r="N88" s="12" t="s">
        <v>344</v>
      </c>
      <c r="O88" s="12" t="s">
        <v>6</v>
      </c>
    </row>
    <row r="89" spans="1:15">
      <c r="A89" s="11" t="s">
        <v>166</v>
      </c>
      <c r="B89" s="11"/>
      <c r="C89" s="11">
        <v>2</v>
      </c>
      <c r="D89" s="11">
        <v>2</v>
      </c>
      <c r="E89" s="11">
        <v>10.94</v>
      </c>
      <c r="F89" s="11">
        <v>56.28</v>
      </c>
      <c r="G89" s="11">
        <v>15.95</v>
      </c>
      <c r="H89" s="11" t="s">
        <v>293</v>
      </c>
      <c r="I89" s="11" t="s">
        <v>294</v>
      </c>
      <c r="J89" s="11" t="s">
        <v>301</v>
      </c>
      <c r="K89" s="11" t="s">
        <v>316</v>
      </c>
      <c r="L89" s="11" t="s">
        <v>340</v>
      </c>
      <c r="M89" s="11" t="s">
        <v>341</v>
      </c>
      <c r="N89" s="11" t="s">
        <v>344</v>
      </c>
      <c r="O89" s="11" t="s">
        <v>6</v>
      </c>
    </row>
    <row r="90" spans="1:15">
      <c r="A90" s="12" t="s">
        <v>167</v>
      </c>
      <c r="B90" s="12"/>
      <c r="C90" s="12">
        <v>10</v>
      </c>
      <c r="D90" s="12">
        <v>12</v>
      </c>
      <c r="E90" s="12">
        <v>9.81</v>
      </c>
      <c r="F90" s="12">
        <v>21.34</v>
      </c>
      <c r="G90" s="12">
        <v>96</v>
      </c>
      <c r="H90" s="12" t="s">
        <v>293</v>
      </c>
      <c r="I90" s="12" t="s">
        <v>294</v>
      </c>
      <c r="J90" s="12" t="s">
        <v>299</v>
      </c>
      <c r="K90" s="12" t="s">
        <v>311</v>
      </c>
      <c r="L90" s="12" t="s">
        <v>340</v>
      </c>
      <c r="M90" s="12" t="s">
        <v>341</v>
      </c>
      <c r="N90" s="12" t="s">
        <v>344</v>
      </c>
      <c r="O90" s="12" t="s">
        <v>6</v>
      </c>
    </row>
    <row r="91" spans="1:15">
      <c r="A91" s="11" t="s">
        <v>168</v>
      </c>
      <c r="B91" s="11"/>
      <c r="C91" s="11">
        <v>6</v>
      </c>
      <c r="D91" s="11">
        <v>6</v>
      </c>
      <c r="E91" s="11">
        <v>19.38</v>
      </c>
      <c r="F91" s="11">
        <v>48.73</v>
      </c>
      <c r="G91" s="11">
        <v>74.2</v>
      </c>
      <c r="H91" s="11" t="s">
        <v>293</v>
      </c>
      <c r="I91" s="11" t="s">
        <v>294</v>
      </c>
      <c r="J91" s="11" t="s">
        <v>303</v>
      </c>
      <c r="K91" s="11" t="s">
        <v>320</v>
      </c>
      <c r="L91" s="11" t="s">
        <v>340</v>
      </c>
      <c r="M91" s="11" t="s">
        <v>341</v>
      </c>
      <c r="N91" s="11" t="s">
        <v>344</v>
      </c>
      <c r="O91" s="11" t="s">
        <v>6</v>
      </c>
    </row>
    <row r="92" spans="1:15">
      <c r="A92" s="12" t="s">
        <v>169</v>
      </c>
      <c r="B92" s="12" t="s">
        <v>292</v>
      </c>
      <c r="C92" s="12">
        <v>55</v>
      </c>
      <c r="D92" s="12">
        <v>55</v>
      </c>
      <c r="E92" s="12">
        <v>46.29</v>
      </c>
      <c r="F92" s="12">
        <v>74.83</v>
      </c>
      <c r="G92" s="12">
        <v>76.14</v>
      </c>
      <c r="H92" s="12" t="s">
        <v>293</v>
      </c>
      <c r="I92" s="12" t="s">
        <v>294</v>
      </c>
      <c r="J92" s="12" t="s">
        <v>296</v>
      </c>
      <c r="K92" s="12" t="s">
        <v>296</v>
      </c>
      <c r="L92" s="12" t="s">
        <v>340</v>
      </c>
      <c r="M92" s="12" t="s">
        <v>341</v>
      </c>
      <c r="N92" s="12" t="s">
        <v>344</v>
      </c>
      <c r="O92" s="12" t="s">
        <v>6</v>
      </c>
    </row>
    <row r="93" spans="1:15">
      <c r="A93" s="11" t="s">
        <v>170</v>
      </c>
      <c r="B93" s="11"/>
      <c r="C93" s="11">
        <v>2</v>
      </c>
      <c r="D93" s="11">
        <v>0</v>
      </c>
      <c r="E93" s="11">
        <v>5.8</v>
      </c>
      <c r="F93" s="11">
        <v>46.76</v>
      </c>
      <c r="G93" s="11">
        <v>24.5</v>
      </c>
      <c r="H93" s="11"/>
      <c r="I93" s="11"/>
      <c r="J93" s="11"/>
      <c r="K93" s="11"/>
      <c r="L93" s="11"/>
      <c r="M93" s="11"/>
      <c r="N93" s="11" t="s">
        <v>344</v>
      </c>
      <c r="O93" s="11" t="s">
        <v>7</v>
      </c>
    </row>
    <row r="94" spans="1:15">
      <c r="A94" s="12" t="s">
        <v>171</v>
      </c>
      <c r="B94" s="12"/>
      <c r="C94" s="12">
        <v>6</v>
      </c>
      <c r="D94" s="12">
        <v>6</v>
      </c>
      <c r="E94" s="12">
        <v>10.29</v>
      </c>
      <c r="F94" s="12">
        <v>54.48</v>
      </c>
      <c r="G94" s="12">
        <v>12.96</v>
      </c>
      <c r="H94" s="12" t="s">
        <v>293</v>
      </c>
      <c r="I94" s="12" t="s">
        <v>294</v>
      </c>
      <c r="J94" s="12" t="s">
        <v>301</v>
      </c>
      <c r="K94" s="12" t="s">
        <v>316</v>
      </c>
      <c r="L94" s="12" t="s">
        <v>340</v>
      </c>
      <c r="M94" s="12" t="s">
        <v>342</v>
      </c>
      <c r="N94" s="12" t="s">
        <v>344</v>
      </c>
      <c r="O94" s="12" t="s">
        <v>6</v>
      </c>
    </row>
    <row r="95" spans="1:15">
      <c r="A95" s="11" t="s">
        <v>172</v>
      </c>
      <c r="B95" s="11" t="s">
        <v>292</v>
      </c>
      <c r="C95" s="11">
        <v>35</v>
      </c>
      <c r="D95" s="11">
        <v>35</v>
      </c>
      <c r="E95" s="11">
        <v>17.75</v>
      </c>
      <c r="F95" s="11">
        <v>41.82</v>
      </c>
      <c r="G95" s="11">
        <v>62.4</v>
      </c>
      <c r="H95" s="11" t="s">
        <v>293</v>
      </c>
      <c r="I95" s="11" t="s">
        <v>294</v>
      </c>
      <c r="J95" s="11" t="s">
        <v>300</v>
      </c>
      <c r="K95" s="11" t="s">
        <v>312</v>
      </c>
      <c r="L95" s="11" t="s">
        <v>340</v>
      </c>
      <c r="M95" s="11" t="s">
        <v>341</v>
      </c>
      <c r="N95" s="11" t="s">
        <v>344</v>
      </c>
      <c r="O95" s="11" t="s">
        <v>6</v>
      </c>
    </row>
    <row r="96" spans="1:15">
      <c r="A96" s="12" t="s">
        <v>173</v>
      </c>
      <c r="B96" s="12"/>
      <c r="C96" s="12">
        <v>7</v>
      </c>
      <c r="D96" s="12">
        <v>7</v>
      </c>
      <c r="E96" s="12">
        <v>4.17</v>
      </c>
      <c r="F96" s="12">
        <v>35.26</v>
      </c>
      <c r="G96" s="12">
        <v>17.88</v>
      </c>
      <c r="H96" s="12" t="s">
        <v>293</v>
      </c>
      <c r="I96" s="12" t="s">
        <v>294</v>
      </c>
      <c r="J96" s="12" t="s">
        <v>303</v>
      </c>
      <c r="K96" s="12" t="s">
        <v>328</v>
      </c>
      <c r="L96" s="12" t="s">
        <v>340</v>
      </c>
      <c r="M96" s="12" t="s">
        <v>341</v>
      </c>
      <c r="N96" s="12" t="s">
        <v>344</v>
      </c>
      <c r="O96" s="12" t="s">
        <v>6</v>
      </c>
    </row>
    <row r="97" spans="1:15">
      <c r="A97" s="11" t="s">
        <v>174</v>
      </c>
      <c r="B97" s="11"/>
      <c r="C97" s="11">
        <v>1</v>
      </c>
      <c r="D97" s="11">
        <v>1</v>
      </c>
      <c r="E97" s="11">
        <v>11.19</v>
      </c>
      <c r="F97" s="11">
        <v>63.41</v>
      </c>
      <c r="G97" s="11">
        <v>6.73</v>
      </c>
      <c r="H97" s="11" t="s">
        <v>293</v>
      </c>
      <c r="I97" s="11" t="s">
        <v>294</v>
      </c>
      <c r="J97" s="11" t="s">
        <v>303</v>
      </c>
      <c r="K97" s="11" t="s">
        <v>330</v>
      </c>
      <c r="L97" s="11" t="s">
        <v>340</v>
      </c>
      <c r="M97" s="11" t="s">
        <v>341</v>
      </c>
      <c r="N97" s="11" t="s">
        <v>344</v>
      </c>
      <c r="O97" s="11" t="s">
        <v>6</v>
      </c>
    </row>
    <row r="98" spans="1:15">
      <c r="A98" s="12" t="s">
        <v>175</v>
      </c>
      <c r="B98" s="12"/>
      <c r="C98" s="12">
        <v>3</v>
      </c>
      <c r="D98" s="12">
        <v>3</v>
      </c>
      <c r="E98" s="12">
        <v>10.59</v>
      </c>
      <c r="F98" s="12">
        <v>19.72</v>
      </c>
      <c r="G98" s="12">
        <v>77.66</v>
      </c>
      <c r="H98" s="12" t="s">
        <v>293</v>
      </c>
      <c r="I98" s="12" t="s">
        <v>294</v>
      </c>
      <c r="J98" s="12" t="s">
        <v>303</v>
      </c>
      <c r="K98" s="12" t="s">
        <v>330</v>
      </c>
      <c r="L98" s="12" t="s">
        <v>340</v>
      </c>
      <c r="M98" s="12" t="s">
        <v>341</v>
      </c>
      <c r="N98" s="12" t="s">
        <v>344</v>
      </c>
      <c r="O98" s="12" t="s">
        <v>6</v>
      </c>
    </row>
    <row r="99" spans="1:15">
      <c r="A99" s="11" t="s">
        <v>176</v>
      </c>
      <c r="B99" s="11"/>
      <c r="C99" s="11">
        <v>1</v>
      </c>
      <c r="D99" s="11">
        <v>1</v>
      </c>
      <c r="E99" s="11">
        <v>9.42</v>
      </c>
      <c r="F99" s="11">
        <v>52.61</v>
      </c>
      <c r="G99" s="11">
        <v>6.5</v>
      </c>
      <c r="H99" s="11" t="s">
        <v>293</v>
      </c>
      <c r="I99" s="11" t="s">
        <v>294</v>
      </c>
      <c r="J99" s="11" t="s">
        <v>304</v>
      </c>
      <c r="K99" s="11" t="s">
        <v>331</v>
      </c>
      <c r="L99" s="11" t="s">
        <v>340</v>
      </c>
      <c r="M99" s="11" t="s">
        <v>342</v>
      </c>
      <c r="N99" s="11" t="s">
        <v>344</v>
      </c>
      <c r="O99" s="11" t="s">
        <v>6</v>
      </c>
    </row>
    <row r="100" spans="1:15">
      <c r="A100" s="12" t="s">
        <v>177</v>
      </c>
      <c r="B100" s="12"/>
      <c r="C100" s="12">
        <v>1</v>
      </c>
      <c r="D100" s="12">
        <v>0</v>
      </c>
      <c r="E100" s="12">
        <v>11.06</v>
      </c>
      <c r="F100" s="12">
        <v>26.84</v>
      </c>
      <c r="G100" s="12">
        <v>9.49</v>
      </c>
      <c r="H100" s="12" t="s">
        <v>293</v>
      </c>
      <c r="I100" s="12" t="s">
        <v>294</v>
      </c>
      <c r="J100" s="12" t="s">
        <v>297</v>
      </c>
      <c r="K100" s="12" t="s">
        <v>308</v>
      </c>
      <c r="L100" s="12" t="s">
        <v>340</v>
      </c>
      <c r="M100" s="12" t="s">
        <v>341</v>
      </c>
      <c r="N100" s="12" t="s">
        <v>344</v>
      </c>
      <c r="O100" s="12" t="s">
        <v>6</v>
      </c>
    </row>
    <row r="101" spans="1:15">
      <c r="A101" s="11" t="s">
        <v>178</v>
      </c>
      <c r="B101" s="11"/>
      <c r="C101" s="11">
        <v>1</v>
      </c>
      <c r="D101" s="11">
        <v>1</v>
      </c>
      <c r="E101" s="11">
        <v>4.47</v>
      </c>
      <c r="F101" s="11">
        <v>26.87</v>
      </c>
      <c r="G101" s="11">
        <v>12.69</v>
      </c>
      <c r="H101" s="11" t="s">
        <v>293</v>
      </c>
      <c r="I101" s="11" t="s">
        <v>294</v>
      </c>
      <c r="J101" s="11" t="s">
        <v>297</v>
      </c>
      <c r="K101" s="11" t="s">
        <v>308</v>
      </c>
      <c r="L101" s="11" t="s">
        <v>340</v>
      </c>
      <c r="M101" s="11" t="s">
        <v>341</v>
      </c>
      <c r="N101" s="11" t="s">
        <v>344</v>
      </c>
      <c r="O101" s="11" t="s">
        <v>6</v>
      </c>
    </row>
    <row r="102" spans="1:15">
      <c r="A102" s="12" t="s">
        <v>179</v>
      </c>
      <c r="B102" s="12"/>
      <c r="C102" s="12">
        <v>63</v>
      </c>
      <c r="D102" s="12">
        <v>62</v>
      </c>
      <c r="E102" s="12">
        <v>8.94</v>
      </c>
      <c r="F102" s="12">
        <v>60.19</v>
      </c>
      <c r="G102" s="12">
        <v>64.33</v>
      </c>
      <c r="H102" s="12" t="s">
        <v>293</v>
      </c>
      <c r="I102" s="12" t="s">
        <v>294</v>
      </c>
      <c r="J102" s="12" t="s">
        <v>304</v>
      </c>
      <c r="K102" s="12" t="s">
        <v>319</v>
      </c>
      <c r="L102" s="12" t="s">
        <v>340</v>
      </c>
      <c r="M102" s="12" t="s">
        <v>341</v>
      </c>
      <c r="N102" s="12" t="s">
        <v>344</v>
      </c>
      <c r="O102" s="12" t="s">
        <v>6</v>
      </c>
    </row>
    <row r="103" spans="1:15">
      <c r="A103" s="11" t="s">
        <v>180</v>
      </c>
      <c r="B103" s="11" t="s">
        <v>292</v>
      </c>
      <c r="C103" s="11">
        <v>41</v>
      </c>
      <c r="D103" s="11">
        <v>41</v>
      </c>
      <c r="E103" s="11">
        <v>46.26</v>
      </c>
      <c r="F103" s="11">
        <v>58.46</v>
      </c>
      <c r="G103" s="11">
        <v>79</v>
      </c>
      <c r="H103" s="11" t="s">
        <v>293</v>
      </c>
      <c r="I103" s="11" t="s">
        <v>294</v>
      </c>
      <c r="J103" s="11" t="s">
        <v>301</v>
      </c>
      <c r="K103" s="11" t="s">
        <v>313</v>
      </c>
      <c r="L103" s="11" t="s">
        <v>340</v>
      </c>
      <c r="M103" s="11" t="s">
        <v>341</v>
      </c>
      <c r="N103" s="11" t="s">
        <v>344</v>
      </c>
      <c r="O103" s="11" t="s">
        <v>6</v>
      </c>
    </row>
    <row r="104" spans="1:15">
      <c r="A104" s="12" t="s">
        <v>181</v>
      </c>
      <c r="B104" s="12"/>
      <c r="C104" s="12">
        <v>5</v>
      </c>
      <c r="D104" s="12">
        <v>5</v>
      </c>
      <c r="E104" s="12">
        <v>10.83</v>
      </c>
      <c r="F104" s="12">
        <v>82.31999999999999</v>
      </c>
      <c r="G104" s="12">
        <v>16.4</v>
      </c>
      <c r="H104" s="12" t="s">
        <v>293</v>
      </c>
      <c r="I104" s="12" t="s">
        <v>294</v>
      </c>
      <c r="J104" s="12" t="s">
        <v>296</v>
      </c>
      <c r="K104" s="12" t="s">
        <v>296</v>
      </c>
      <c r="L104" s="12" t="s">
        <v>340</v>
      </c>
      <c r="M104" s="12" t="s">
        <v>341</v>
      </c>
      <c r="N104" s="12" t="s">
        <v>344</v>
      </c>
      <c r="O104" s="12" t="s">
        <v>6</v>
      </c>
    </row>
    <row r="105" spans="1:15">
      <c r="A105" s="11" t="s">
        <v>182</v>
      </c>
      <c r="B105" s="11" t="s">
        <v>292</v>
      </c>
      <c r="C105" s="11">
        <v>5</v>
      </c>
      <c r="D105" s="11">
        <v>5</v>
      </c>
      <c r="E105" s="11">
        <v>32.34</v>
      </c>
      <c r="F105" s="11">
        <v>85.31</v>
      </c>
      <c r="G105" s="11">
        <v>71.29000000000001</v>
      </c>
      <c r="H105" s="11" t="s">
        <v>293</v>
      </c>
      <c r="I105" s="11" t="s">
        <v>294</v>
      </c>
      <c r="J105" s="11" t="s">
        <v>302</v>
      </c>
      <c r="K105" s="11" t="s">
        <v>314</v>
      </c>
      <c r="L105" s="11" t="s">
        <v>340</v>
      </c>
      <c r="M105" s="11" t="s">
        <v>341</v>
      </c>
      <c r="N105" s="11" t="s">
        <v>344</v>
      </c>
      <c r="O105" s="11" t="s">
        <v>6</v>
      </c>
    </row>
    <row r="106" spans="1:15">
      <c r="A106" s="12" t="s">
        <v>183</v>
      </c>
      <c r="B106" s="12"/>
      <c r="C106" s="12">
        <v>2</v>
      </c>
      <c r="D106" s="12">
        <v>2</v>
      </c>
      <c r="E106" s="12">
        <v>10.33</v>
      </c>
      <c r="F106" s="12">
        <v>80.39</v>
      </c>
      <c r="G106" s="12">
        <v>12.2</v>
      </c>
      <c r="H106" s="12" t="s">
        <v>293</v>
      </c>
      <c r="I106" s="12" t="s">
        <v>294</v>
      </c>
      <c r="J106" s="12" t="s">
        <v>302</v>
      </c>
      <c r="K106" s="12" t="s">
        <v>314</v>
      </c>
      <c r="L106" s="12" t="s">
        <v>340</v>
      </c>
      <c r="M106" s="12" t="s">
        <v>341</v>
      </c>
      <c r="N106" s="12" t="s">
        <v>344</v>
      </c>
      <c r="O106" s="12" t="s">
        <v>6</v>
      </c>
    </row>
    <row r="107" spans="1:15">
      <c r="A107" s="11" t="s">
        <v>184</v>
      </c>
      <c r="B107" s="11"/>
      <c r="C107" s="11">
        <v>4</v>
      </c>
      <c r="D107" s="11">
        <v>2</v>
      </c>
      <c r="E107" s="11">
        <v>11.05</v>
      </c>
      <c r="F107" s="11">
        <v>60.01</v>
      </c>
      <c r="G107" s="11">
        <v>10.66</v>
      </c>
      <c r="H107" s="11" t="s">
        <v>293</v>
      </c>
      <c r="I107" s="11" t="s">
        <v>294</v>
      </c>
      <c r="J107" s="11" t="s">
        <v>302</v>
      </c>
      <c r="K107" s="11" t="s">
        <v>314</v>
      </c>
      <c r="L107" s="11" t="s">
        <v>340</v>
      </c>
      <c r="M107" s="11" t="s">
        <v>341</v>
      </c>
      <c r="N107" s="11" t="s">
        <v>344</v>
      </c>
      <c r="O107" s="11" t="s">
        <v>6</v>
      </c>
    </row>
    <row r="108" spans="1:15">
      <c r="A108" s="12" t="s">
        <v>185</v>
      </c>
      <c r="B108" s="12"/>
      <c r="C108" s="12">
        <v>2</v>
      </c>
      <c r="D108" s="12">
        <v>2</v>
      </c>
      <c r="E108" s="12">
        <v>7.07</v>
      </c>
      <c r="F108" s="12">
        <v>48.92</v>
      </c>
      <c r="G108" s="12">
        <v>11.4</v>
      </c>
      <c r="H108" s="12" t="s">
        <v>293</v>
      </c>
      <c r="I108" s="12" t="s">
        <v>294</v>
      </c>
      <c r="J108" s="12" t="s">
        <v>296</v>
      </c>
      <c r="K108" s="12" t="s">
        <v>296</v>
      </c>
      <c r="L108" s="12" t="s">
        <v>340</v>
      </c>
      <c r="M108" s="12" t="s">
        <v>341</v>
      </c>
      <c r="N108" s="12" t="s">
        <v>344</v>
      </c>
      <c r="O108" s="12" t="s">
        <v>6</v>
      </c>
    </row>
    <row r="109" spans="1:15">
      <c r="A109" s="11" t="s">
        <v>186</v>
      </c>
      <c r="B109" s="11"/>
      <c r="C109" s="11">
        <v>78</v>
      </c>
      <c r="D109" s="11">
        <v>90</v>
      </c>
      <c r="E109" s="11">
        <v>31.05</v>
      </c>
      <c r="F109" s="11">
        <v>35.49</v>
      </c>
      <c r="G109" s="11">
        <v>52.53</v>
      </c>
      <c r="H109" s="11" t="s">
        <v>293</v>
      </c>
      <c r="I109" s="11" t="s">
        <v>294</v>
      </c>
      <c r="J109" s="11" t="s">
        <v>306</v>
      </c>
      <c r="K109" s="11" t="s">
        <v>332</v>
      </c>
      <c r="L109" s="11" t="s">
        <v>340</v>
      </c>
      <c r="M109" s="11" t="s">
        <v>342</v>
      </c>
      <c r="N109" s="11" t="s">
        <v>344</v>
      </c>
      <c r="O109" s="11" t="s">
        <v>6</v>
      </c>
    </row>
    <row r="110" spans="1:15">
      <c r="A110" s="12" t="s">
        <v>187</v>
      </c>
      <c r="B110" s="12"/>
      <c r="C110" s="12">
        <v>6</v>
      </c>
      <c r="D110" s="12">
        <v>6</v>
      </c>
      <c r="E110" s="12">
        <v>50.28</v>
      </c>
      <c r="F110" s="12">
        <v>50.82</v>
      </c>
      <c r="G110" s="12">
        <v>65.26000000000001</v>
      </c>
      <c r="H110" s="12" t="s">
        <v>293</v>
      </c>
      <c r="I110" s="12" t="s">
        <v>294</v>
      </c>
      <c r="J110" s="12" t="s">
        <v>304</v>
      </c>
      <c r="K110" s="12" t="s">
        <v>319</v>
      </c>
      <c r="L110" s="12" t="s">
        <v>340</v>
      </c>
      <c r="M110" s="12" t="s">
        <v>343</v>
      </c>
      <c r="N110" s="12" t="s">
        <v>344</v>
      </c>
      <c r="O110" s="12" t="s">
        <v>6</v>
      </c>
    </row>
    <row r="111" spans="1:15">
      <c r="A111" s="11" t="s">
        <v>188</v>
      </c>
      <c r="B111" s="11" t="s">
        <v>292</v>
      </c>
      <c r="C111" s="11">
        <v>8</v>
      </c>
      <c r="D111" s="11">
        <v>8</v>
      </c>
      <c r="E111" s="11">
        <v>5.59</v>
      </c>
      <c r="F111" s="11">
        <v>57.77</v>
      </c>
      <c r="G111" s="11">
        <v>10</v>
      </c>
      <c r="H111" s="11" t="s">
        <v>293</v>
      </c>
      <c r="I111" s="11" t="s">
        <v>294</v>
      </c>
      <c r="J111" s="11" t="s">
        <v>296</v>
      </c>
      <c r="K111" s="11" t="s">
        <v>296</v>
      </c>
      <c r="L111" s="11" t="s">
        <v>340</v>
      </c>
      <c r="M111" s="11" t="s">
        <v>343</v>
      </c>
      <c r="N111" s="11" t="s">
        <v>344</v>
      </c>
      <c r="O111" s="11" t="s">
        <v>6</v>
      </c>
    </row>
    <row r="112" spans="1:15">
      <c r="A112" s="12" t="s">
        <v>189</v>
      </c>
      <c r="B112" s="12" t="s">
        <v>292</v>
      </c>
      <c r="C112" s="12">
        <v>33</v>
      </c>
      <c r="D112" s="12">
        <v>33</v>
      </c>
      <c r="E112" s="12">
        <v>34.69</v>
      </c>
      <c r="F112" s="12">
        <v>55.41</v>
      </c>
      <c r="G112" s="12">
        <v>57.37</v>
      </c>
      <c r="H112" s="12" t="s">
        <v>293</v>
      </c>
      <c r="I112" s="12" t="s">
        <v>294</v>
      </c>
      <c r="J112" s="12" t="s">
        <v>296</v>
      </c>
      <c r="K112" s="12" t="s">
        <v>296</v>
      </c>
      <c r="L112" s="12" t="s">
        <v>340</v>
      </c>
      <c r="M112" s="12" t="s">
        <v>343</v>
      </c>
      <c r="N112" s="12" t="s">
        <v>344</v>
      </c>
      <c r="O112" s="12" t="s">
        <v>6</v>
      </c>
    </row>
    <row r="113" spans="1:15">
      <c r="A113" s="11" t="s">
        <v>190</v>
      </c>
      <c r="B113" s="11"/>
      <c r="C113" s="11">
        <v>47</v>
      </c>
      <c r="D113" s="11">
        <v>47</v>
      </c>
      <c r="E113" s="11">
        <v>26.15</v>
      </c>
      <c r="F113" s="11">
        <v>77</v>
      </c>
      <c r="G113" s="11">
        <v>70.81</v>
      </c>
      <c r="H113" s="11" t="s">
        <v>293</v>
      </c>
      <c r="I113" s="11" t="s">
        <v>294</v>
      </c>
      <c r="J113" s="11" t="s">
        <v>302</v>
      </c>
      <c r="K113" s="11" t="s">
        <v>326</v>
      </c>
      <c r="L113" s="11" t="s">
        <v>340</v>
      </c>
      <c r="M113" s="11" t="s">
        <v>343</v>
      </c>
      <c r="N113" s="11" t="s">
        <v>344</v>
      </c>
      <c r="O113" s="11" t="s">
        <v>6</v>
      </c>
    </row>
    <row r="114" spans="1:15">
      <c r="A114" s="12" t="s">
        <v>191</v>
      </c>
      <c r="B114" s="12"/>
      <c r="C114" s="12">
        <v>32</v>
      </c>
      <c r="D114" s="12">
        <v>32</v>
      </c>
      <c r="E114" s="12">
        <v>18.68</v>
      </c>
      <c r="F114" s="12">
        <v>63.47</v>
      </c>
      <c r="G114" s="12">
        <v>78.45999999999999</v>
      </c>
      <c r="H114" s="12" t="s">
        <v>293</v>
      </c>
      <c r="I114" s="12" t="s">
        <v>294</v>
      </c>
      <c r="J114" s="12" t="s">
        <v>304</v>
      </c>
      <c r="K114" s="12" t="s">
        <v>319</v>
      </c>
      <c r="L114" s="12" t="s">
        <v>340</v>
      </c>
      <c r="M114" s="12" t="s">
        <v>343</v>
      </c>
      <c r="N114" s="12" t="s">
        <v>344</v>
      </c>
      <c r="O114" s="12" t="s">
        <v>6</v>
      </c>
    </row>
    <row r="115" spans="1:15">
      <c r="A115" s="11" t="s">
        <v>192</v>
      </c>
      <c r="B115" s="11" t="s">
        <v>292</v>
      </c>
      <c r="C115" s="11">
        <v>28</v>
      </c>
      <c r="D115" s="11">
        <v>28</v>
      </c>
      <c r="E115" s="11">
        <v>10.29</v>
      </c>
      <c r="F115" s="11">
        <v>85.81</v>
      </c>
      <c r="G115" s="11">
        <v>13.1</v>
      </c>
      <c r="H115" s="11" t="s">
        <v>293</v>
      </c>
      <c r="I115" s="11" t="s">
        <v>295</v>
      </c>
      <c r="J115" s="11" t="s">
        <v>304</v>
      </c>
      <c r="K115" s="11" t="s">
        <v>319</v>
      </c>
      <c r="L115" s="11" t="s">
        <v>340</v>
      </c>
      <c r="M115" s="11" t="s">
        <v>343</v>
      </c>
      <c r="N115" s="11" t="s">
        <v>344</v>
      </c>
      <c r="O115" s="11" t="s">
        <v>6</v>
      </c>
    </row>
    <row r="116" spans="1:15">
      <c r="A116" s="12" t="s">
        <v>193</v>
      </c>
      <c r="B116" s="12"/>
      <c r="C116" s="12">
        <v>28</v>
      </c>
      <c r="D116" s="12">
        <v>28</v>
      </c>
      <c r="E116" s="12">
        <v>8.49</v>
      </c>
      <c r="F116" s="12">
        <v>63.47</v>
      </c>
      <c r="G116" s="12">
        <v>13</v>
      </c>
      <c r="H116" s="12" t="s">
        <v>293</v>
      </c>
      <c r="I116" s="12" t="s">
        <v>295</v>
      </c>
      <c r="J116" s="12" t="s">
        <v>304</v>
      </c>
      <c r="K116" s="12" t="s">
        <v>319</v>
      </c>
      <c r="L116" s="12" t="s">
        <v>340</v>
      </c>
      <c r="M116" s="12" t="s">
        <v>343</v>
      </c>
      <c r="N116" s="12" t="s">
        <v>344</v>
      </c>
      <c r="O116" s="12" t="s">
        <v>6</v>
      </c>
    </row>
    <row r="117" spans="1:15">
      <c r="A117" s="11" t="s">
        <v>194</v>
      </c>
      <c r="B117" s="11"/>
      <c r="C117" s="11">
        <v>16</v>
      </c>
      <c r="D117" s="11">
        <v>16</v>
      </c>
      <c r="E117" s="11">
        <v>12.22</v>
      </c>
      <c r="F117" s="11">
        <v>59.28</v>
      </c>
      <c r="G117" s="11">
        <v>50.82</v>
      </c>
      <c r="H117" s="11" t="s">
        <v>293</v>
      </c>
      <c r="I117" s="11" t="s">
        <v>294</v>
      </c>
      <c r="J117" s="11" t="s">
        <v>304</v>
      </c>
      <c r="K117" s="11" t="s">
        <v>319</v>
      </c>
      <c r="L117" s="11" t="s">
        <v>340</v>
      </c>
      <c r="M117" s="11" t="s">
        <v>342</v>
      </c>
      <c r="N117" s="11" t="s">
        <v>344</v>
      </c>
      <c r="O117" s="11" t="s">
        <v>6</v>
      </c>
    </row>
    <row r="118" spans="1:15">
      <c r="A118" s="12" t="s">
        <v>195</v>
      </c>
      <c r="B118" s="12"/>
      <c r="C118" s="12">
        <v>3</v>
      </c>
      <c r="D118" s="12">
        <v>3</v>
      </c>
      <c r="E118" s="12">
        <v>6.26</v>
      </c>
      <c r="F118" s="12">
        <v>51.95</v>
      </c>
      <c r="G118" s="12">
        <v>12.16</v>
      </c>
      <c r="H118" s="12" t="s">
        <v>293</v>
      </c>
      <c r="I118" s="12" t="s">
        <v>294</v>
      </c>
      <c r="J118" s="12" t="s">
        <v>304</v>
      </c>
      <c r="K118" s="12" t="s">
        <v>319</v>
      </c>
      <c r="L118" s="12" t="s">
        <v>340</v>
      </c>
      <c r="M118" s="12" t="s">
        <v>343</v>
      </c>
      <c r="N118" s="12" t="s">
        <v>344</v>
      </c>
      <c r="O118" s="12" t="s">
        <v>6</v>
      </c>
    </row>
    <row r="119" spans="1:15">
      <c r="A119" s="11" t="s">
        <v>196</v>
      </c>
      <c r="B119" s="11" t="s">
        <v>292</v>
      </c>
      <c r="C119" s="11">
        <v>12</v>
      </c>
      <c r="D119" s="11">
        <v>12</v>
      </c>
      <c r="E119" s="11">
        <v>30.25</v>
      </c>
      <c r="F119" s="11">
        <v>41.38</v>
      </c>
      <c r="G119" s="11">
        <v>97.68000000000001</v>
      </c>
      <c r="H119" s="11" t="s">
        <v>293</v>
      </c>
      <c r="I119" s="11" t="s">
        <v>294</v>
      </c>
      <c r="J119" s="11" t="s">
        <v>296</v>
      </c>
      <c r="K119" s="11" t="s">
        <v>296</v>
      </c>
      <c r="L119" s="11" t="s">
        <v>340</v>
      </c>
      <c r="M119" s="11" t="s">
        <v>342</v>
      </c>
      <c r="N119" s="11" t="s">
        <v>344</v>
      </c>
      <c r="O119" s="11" t="s">
        <v>6</v>
      </c>
    </row>
    <row r="120" spans="1:15">
      <c r="A120" s="12" t="s">
        <v>197</v>
      </c>
      <c r="B120" s="12" t="s">
        <v>292</v>
      </c>
      <c r="C120" s="12">
        <v>4</v>
      </c>
      <c r="D120" s="12">
        <v>2</v>
      </c>
      <c r="E120" s="12">
        <v>11.84</v>
      </c>
      <c r="F120" s="12">
        <v>69.26000000000001</v>
      </c>
      <c r="G120" s="12">
        <v>24.4</v>
      </c>
      <c r="H120" s="12" t="s">
        <v>293</v>
      </c>
      <c r="I120" s="12" t="s">
        <v>294</v>
      </c>
      <c r="J120" s="12" t="s">
        <v>302</v>
      </c>
      <c r="K120" s="12" t="s">
        <v>326</v>
      </c>
      <c r="L120" s="12" t="s">
        <v>340</v>
      </c>
      <c r="M120" s="12" t="s">
        <v>343</v>
      </c>
      <c r="N120" s="12" t="s">
        <v>344</v>
      </c>
      <c r="O120" s="12" t="s">
        <v>6</v>
      </c>
    </row>
    <row r="121" spans="1:15">
      <c r="A121" s="11" t="s">
        <v>198</v>
      </c>
      <c r="B121" s="11" t="s">
        <v>292</v>
      </c>
      <c r="C121" s="11">
        <v>53</v>
      </c>
      <c r="D121" s="11">
        <v>54</v>
      </c>
      <c r="E121" s="11">
        <v>22.81</v>
      </c>
      <c r="F121" s="11">
        <v>43.94</v>
      </c>
      <c r="G121" s="11">
        <v>50.15</v>
      </c>
      <c r="H121" s="11" t="s">
        <v>293</v>
      </c>
      <c r="I121" s="11" t="s">
        <v>294</v>
      </c>
      <c r="J121" s="11" t="s">
        <v>300</v>
      </c>
      <c r="K121" s="11" t="s">
        <v>329</v>
      </c>
      <c r="L121" s="11" t="s">
        <v>340</v>
      </c>
      <c r="M121" s="11" t="s">
        <v>343</v>
      </c>
      <c r="N121" s="11" t="s">
        <v>344</v>
      </c>
      <c r="O121" s="11" t="s">
        <v>6</v>
      </c>
    </row>
    <row r="122" spans="1:15">
      <c r="A122" s="12" t="s">
        <v>199</v>
      </c>
      <c r="B122" s="12"/>
      <c r="C122" s="12">
        <v>3</v>
      </c>
      <c r="D122" s="12">
        <v>3</v>
      </c>
      <c r="E122" s="12">
        <v>11.1</v>
      </c>
      <c r="F122" s="12">
        <v>84.03</v>
      </c>
      <c r="G122" s="12">
        <v>11.9</v>
      </c>
      <c r="H122" s="12" t="s">
        <v>293</v>
      </c>
      <c r="I122" s="12" t="s">
        <v>294</v>
      </c>
      <c r="J122" s="12" t="s">
        <v>304</v>
      </c>
      <c r="K122" s="12" t="s">
        <v>319</v>
      </c>
      <c r="L122" s="12" t="s">
        <v>340</v>
      </c>
      <c r="M122" s="12" t="s">
        <v>343</v>
      </c>
      <c r="N122" s="12" t="s">
        <v>344</v>
      </c>
      <c r="O122" s="12" t="s">
        <v>6</v>
      </c>
    </row>
    <row r="123" spans="1:15">
      <c r="A123" s="11" t="s">
        <v>200</v>
      </c>
      <c r="B123" s="11"/>
      <c r="C123" s="11">
        <v>2</v>
      </c>
      <c r="D123" s="11">
        <v>2</v>
      </c>
      <c r="E123" s="11">
        <v>4.91</v>
      </c>
      <c r="F123" s="11">
        <v>60.41</v>
      </c>
      <c r="G123" s="11">
        <v>12.66</v>
      </c>
      <c r="H123" s="11" t="s">
        <v>293</v>
      </c>
      <c r="I123" s="11" t="s">
        <v>294</v>
      </c>
      <c r="J123" s="11" t="s">
        <v>304</v>
      </c>
      <c r="K123" s="11" t="s">
        <v>319</v>
      </c>
      <c r="L123" s="11" t="s">
        <v>340</v>
      </c>
      <c r="M123" s="11" t="s">
        <v>343</v>
      </c>
      <c r="N123" s="11" t="s">
        <v>344</v>
      </c>
      <c r="O123" s="11" t="s">
        <v>6</v>
      </c>
    </row>
    <row r="124" spans="1:15">
      <c r="A124" s="12" t="s">
        <v>201</v>
      </c>
      <c r="B124" s="12"/>
      <c r="C124" s="12">
        <v>2</v>
      </c>
      <c r="D124" s="12">
        <v>2</v>
      </c>
      <c r="E124" s="12">
        <v>29.82</v>
      </c>
      <c r="F124" s="12">
        <v>71.34999999999999</v>
      </c>
      <c r="G124" s="12">
        <v>63.7</v>
      </c>
      <c r="H124" s="12" t="s">
        <v>293</v>
      </c>
      <c r="I124" s="12" t="s">
        <v>294</v>
      </c>
      <c r="J124" s="12" t="s">
        <v>302</v>
      </c>
      <c r="K124" s="12" t="s">
        <v>326</v>
      </c>
      <c r="L124" s="12" t="s">
        <v>340</v>
      </c>
      <c r="M124" s="12" t="s">
        <v>343</v>
      </c>
      <c r="N124" s="12" t="s">
        <v>344</v>
      </c>
      <c r="O124" s="12" t="s">
        <v>6</v>
      </c>
    </row>
    <row r="125" spans="1:15">
      <c r="A125" s="11" t="s">
        <v>202</v>
      </c>
      <c r="B125" s="11" t="s">
        <v>292</v>
      </c>
      <c r="C125" s="11">
        <v>99</v>
      </c>
      <c r="D125" s="11">
        <v>111</v>
      </c>
      <c r="E125" s="11">
        <v>49.03</v>
      </c>
      <c r="F125" s="11">
        <v>61.07</v>
      </c>
      <c r="G125" s="11">
        <v>77</v>
      </c>
      <c r="H125" s="11" t="s">
        <v>293</v>
      </c>
      <c r="I125" s="11" t="s">
        <v>294</v>
      </c>
      <c r="J125" s="11" t="s">
        <v>306</v>
      </c>
      <c r="K125" s="11" t="s">
        <v>333</v>
      </c>
      <c r="L125" s="11" t="s">
        <v>340</v>
      </c>
      <c r="M125" s="11" t="s">
        <v>343</v>
      </c>
      <c r="N125" s="11" t="s">
        <v>344</v>
      </c>
      <c r="O125" s="11" t="s">
        <v>6</v>
      </c>
    </row>
    <row r="126" spans="1:15">
      <c r="A126" s="12" t="s">
        <v>203</v>
      </c>
      <c r="B126" s="12"/>
      <c r="C126" s="12">
        <v>4</v>
      </c>
      <c r="D126" s="12">
        <v>4</v>
      </c>
      <c r="E126" s="12">
        <v>9.220000000000001</v>
      </c>
      <c r="F126" s="12">
        <v>75.44</v>
      </c>
      <c r="G126" s="12">
        <v>48.85</v>
      </c>
      <c r="H126" s="12" t="s">
        <v>293</v>
      </c>
      <c r="I126" s="12" t="s">
        <v>294</v>
      </c>
      <c r="J126" s="12" t="s">
        <v>306</v>
      </c>
      <c r="K126" s="12" t="s">
        <v>333</v>
      </c>
      <c r="L126" s="12" t="s">
        <v>340</v>
      </c>
      <c r="M126" s="12" t="s">
        <v>343</v>
      </c>
      <c r="N126" s="12" t="s">
        <v>344</v>
      </c>
      <c r="O126" s="12" t="s">
        <v>6</v>
      </c>
    </row>
    <row r="127" spans="1:15">
      <c r="A127" s="11" t="s">
        <v>204</v>
      </c>
      <c r="B127" s="11"/>
      <c r="C127" s="11">
        <v>1</v>
      </c>
      <c r="D127" s="11">
        <v>0</v>
      </c>
      <c r="E127" s="11">
        <v>7.1</v>
      </c>
      <c r="F127" s="11">
        <v>32.81</v>
      </c>
      <c r="G127" s="11">
        <v>12</v>
      </c>
      <c r="H127" s="11" t="s">
        <v>293</v>
      </c>
      <c r="I127" s="11" t="s">
        <v>294</v>
      </c>
      <c r="J127" s="11" t="s">
        <v>306</v>
      </c>
      <c r="K127" s="11" t="s">
        <v>333</v>
      </c>
      <c r="L127" s="11" t="s">
        <v>340</v>
      </c>
      <c r="M127" s="11" t="s">
        <v>343</v>
      </c>
      <c r="N127" s="11" t="s">
        <v>344</v>
      </c>
      <c r="O127" s="11" t="s">
        <v>6</v>
      </c>
    </row>
    <row r="128" spans="1:15">
      <c r="A128" s="12" t="s">
        <v>205</v>
      </c>
      <c r="B128" s="12" t="s">
        <v>292</v>
      </c>
      <c r="C128" s="12">
        <v>64</v>
      </c>
      <c r="D128" s="12">
        <v>117</v>
      </c>
      <c r="E128" s="12">
        <v>6.52</v>
      </c>
      <c r="F128" s="12">
        <v>26.42</v>
      </c>
      <c r="G128" s="12">
        <v>44.76</v>
      </c>
      <c r="H128" s="12" t="s">
        <v>293</v>
      </c>
      <c r="I128" s="12" t="s">
        <v>294</v>
      </c>
      <c r="J128" s="12" t="s">
        <v>296</v>
      </c>
      <c r="K128" s="12" t="s">
        <v>296</v>
      </c>
      <c r="L128" s="12" t="s">
        <v>340</v>
      </c>
      <c r="M128" s="12" t="s">
        <v>343</v>
      </c>
      <c r="N128" s="12" t="s">
        <v>344</v>
      </c>
      <c r="O128" s="12" t="s">
        <v>6</v>
      </c>
    </row>
    <row r="129" spans="1:15">
      <c r="A129" s="11" t="s">
        <v>206</v>
      </c>
      <c r="B129" s="11"/>
      <c r="C129" s="11">
        <v>8</v>
      </c>
      <c r="D129" s="11">
        <v>8</v>
      </c>
      <c r="E129" s="11">
        <v>11.92</v>
      </c>
      <c r="F129" s="11">
        <v>61.95</v>
      </c>
      <c r="G129" s="11">
        <v>63.3</v>
      </c>
      <c r="H129" s="11" t="s">
        <v>293</v>
      </c>
      <c r="I129" s="11" t="s">
        <v>294</v>
      </c>
      <c r="J129" s="11" t="s">
        <v>303</v>
      </c>
      <c r="K129" s="11" t="s">
        <v>320</v>
      </c>
      <c r="L129" s="11" t="s">
        <v>340</v>
      </c>
      <c r="M129" s="11" t="s">
        <v>343</v>
      </c>
      <c r="N129" s="11" t="s">
        <v>344</v>
      </c>
      <c r="O129" s="11" t="s">
        <v>6</v>
      </c>
    </row>
    <row r="130" spans="1:15">
      <c r="A130" s="12" t="s">
        <v>207</v>
      </c>
      <c r="B130" s="12"/>
      <c r="C130" s="12">
        <v>29</v>
      </c>
      <c r="D130" s="12">
        <v>30</v>
      </c>
      <c r="E130" s="12">
        <v>2.15</v>
      </c>
      <c r="F130" s="12">
        <v>75.45</v>
      </c>
      <c r="G130" s="12">
        <v>25.82</v>
      </c>
      <c r="H130" s="12" t="s">
        <v>293</v>
      </c>
      <c r="I130" s="12" t="s">
        <v>294</v>
      </c>
      <c r="J130" s="12" t="s">
        <v>303</v>
      </c>
      <c r="K130" s="12" t="s">
        <v>317</v>
      </c>
      <c r="L130" s="12" t="s">
        <v>340</v>
      </c>
      <c r="M130" s="12" t="s">
        <v>343</v>
      </c>
      <c r="N130" s="12" t="s">
        <v>344</v>
      </c>
      <c r="O130" s="12" t="s">
        <v>6</v>
      </c>
    </row>
    <row r="131" spans="1:15">
      <c r="A131" s="11" t="s">
        <v>208</v>
      </c>
      <c r="B131" s="11"/>
      <c r="C131" s="11">
        <v>2</v>
      </c>
      <c r="D131" s="11">
        <v>2</v>
      </c>
      <c r="E131" s="11">
        <v>4.45</v>
      </c>
      <c r="F131" s="11">
        <v>25.02</v>
      </c>
      <c r="G131" s="11">
        <v>2.48</v>
      </c>
      <c r="H131" s="11" t="s">
        <v>293</v>
      </c>
      <c r="I131" s="11" t="s">
        <v>294</v>
      </c>
      <c r="J131" s="11" t="s">
        <v>296</v>
      </c>
      <c r="K131" s="11" t="s">
        <v>296</v>
      </c>
      <c r="L131" s="11" t="s">
        <v>340</v>
      </c>
      <c r="M131" s="11" t="s">
        <v>343</v>
      </c>
      <c r="N131" s="11" t="s">
        <v>344</v>
      </c>
      <c r="O131" s="11" t="s">
        <v>6</v>
      </c>
    </row>
    <row r="132" spans="1:15">
      <c r="A132" s="12" t="s">
        <v>209</v>
      </c>
      <c r="B132" s="12"/>
      <c r="C132" s="12">
        <v>6</v>
      </c>
      <c r="D132" s="12">
        <v>6</v>
      </c>
      <c r="E132" s="12">
        <v>22.17</v>
      </c>
      <c r="F132" s="12">
        <v>38.94</v>
      </c>
      <c r="G132" s="12">
        <v>79</v>
      </c>
      <c r="H132" s="12" t="s">
        <v>293</v>
      </c>
      <c r="I132" s="12" t="s">
        <v>294</v>
      </c>
      <c r="J132" s="12" t="s">
        <v>296</v>
      </c>
      <c r="K132" s="12" t="s">
        <v>296</v>
      </c>
      <c r="L132" s="12" t="s">
        <v>340</v>
      </c>
      <c r="M132" s="12" t="s">
        <v>343</v>
      </c>
      <c r="N132" s="12" t="s">
        <v>344</v>
      </c>
      <c r="O132" s="12" t="s">
        <v>6</v>
      </c>
    </row>
    <row r="133" spans="1:15">
      <c r="A133" s="11" t="s">
        <v>210</v>
      </c>
      <c r="B133" s="11"/>
      <c r="C133" s="11">
        <v>0</v>
      </c>
      <c r="D133" s="11">
        <v>1</v>
      </c>
      <c r="E133" s="11">
        <v>0.45</v>
      </c>
      <c r="F133" s="11">
        <v>3.39</v>
      </c>
      <c r="G133" s="11">
        <v>69.84</v>
      </c>
      <c r="H133" s="11" t="s">
        <v>293</v>
      </c>
      <c r="I133" s="11" t="s">
        <v>294</v>
      </c>
      <c r="J133" s="11" t="s">
        <v>298</v>
      </c>
      <c r="K133" s="11" t="s">
        <v>310</v>
      </c>
      <c r="L133" s="11" t="s">
        <v>230</v>
      </c>
      <c r="M133" s="11"/>
      <c r="N133" s="11" t="s">
        <v>344</v>
      </c>
      <c r="O133" s="11" t="s">
        <v>5</v>
      </c>
    </row>
    <row r="134" spans="1:15">
      <c r="A134" s="12" t="s">
        <v>211</v>
      </c>
      <c r="B134" s="12"/>
      <c r="C134" s="12">
        <v>1</v>
      </c>
      <c r="D134" s="12">
        <v>1</v>
      </c>
      <c r="E134" s="12">
        <v>60.61</v>
      </c>
      <c r="F134" s="12">
        <v>12.94</v>
      </c>
      <c r="G134" s="12">
        <v>86</v>
      </c>
      <c r="H134" s="12" t="s">
        <v>293</v>
      </c>
      <c r="I134" s="12" t="s">
        <v>294</v>
      </c>
      <c r="J134" s="12" t="s">
        <v>305</v>
      </c>
      <c r="K134" s="12" t="s">
        <v>334</v>
      </c>
      <c r="L134" s="12" t="s">
        <v>230</v>
      </c>
      <c r="M134" s="12"/>
      <c r="N134" s="12" t="s">
        <v>344</v>
      </c>
      <c r="O134" s="12" t="s">
        <v>5</v>
      </c>
    </row>
    <row r="135" spans="1:15">
      <c r="A135" s="11" t="s">
        <v>212</v>
      </c>
      <c r="B135" s="11"/>
      <c r="C135" s="11">
        <v>3</v>
      </c>
      <c r="D135" s="11">
        <v>0</v>
      </c>
      <c r="E135" s="11">
        <v>2.95</v>
      </c>
      <c r="F135" s="11">
        <v>14.9</v>
      </c>
      <c r="G135" s="11">
        <v>8.59</v>
      </c>
      <c r="H135" s="11" t="s">
        <v>293</v>
      </c>
      <c r="I135" s="11" t="s">
        <v>294</v>
      </c>
      <c r="J135" s="11" t="s">
        <v>305</v>
      </c>
      <c r="K135" s="11" t="s">
        <v>334</v>
      </c>
      <c r="L135" s="11" t="s">
        <v>230</v>
      </c>
      <c r="M135" s="11"/>
      <c r="N135" s="11" t="s">
        <v>344</v>
      </c>
      <c r="O135" s="11" t="s">
        <v>5</v>
      </c>
    </row>
    <row r="136" spans="1:15">
      <c r="A136" s="12" t="s">
        <v>213</v>
      </c>
      <c r="B136" s="12"/>
      <c r="C136" s="12">
        <v>13</v>
      </c>
      <c r="D136" s="12">
        <v>0</v>
      </c>
      <c r="E136" s="12">
        <v>10.84</v>
      </c>
      <c r="F136" s="12">
        <v>18.57</v>
      </c>
      <c r="G136" s="12">
        <v>49.56</v>
      </c>
      <c r="H136" s="12" t="s">
        <v>293</v>
      </c>
      <c r="I136" s="12" t="s">
        <v>294</v>
      </c>
      <c r="J136" s="12" t="s">
        <v>297</v>
      </c>
      <c r="K136" s="12" t="s">
        <v>308</v>
      </c>
      <c r="L136" s="12" t="s">
        <v>230</v>
      </c>
      <c r="M136" s="12"/>
      <c r="N136" s="12" t="s">
        <v>344</v>
      </c>
      <c r="O136" s="12" t="s">
        <v>5</v>
      </c>
    </row>
    <row r="137" spans="1:15">
      <c r="A137" s="11" t="s">
        <v>214</v>
      </c>
      <c r="B137" s="11"/>
      <c r="C137" s="11">
        <v>10</v>
      </c>
      <c r="D137" s="11">
        <v>10</v>
      </c>
      <c r="E137" s="11">
        <v>7.97</v>
      </c>
      <c r="F137" s="11">
        <v>51.54</v>
      </c>
      <c r="G137" s="11">
        <v>30.5</v>
      </c>
      <c r="H137" s="11" t="s">
        <v>293</v>
      </c>
      <c r="I137" s="11" t="s">
        <v>294</v>
      </c>
      <c r="J137" s="11" t="s">
        <v>299</v>
      </c>
      <c r="K137" s="11" t="s">
        <v>335</v>
      </c>
      <c r="L137" s="11" t="s">
        <v>340</v>
      </c>
      <c r="M137" s="11" t="s">
        <v>343</v>
      </c>
      <c r="N137" s="11" t="s">
        <v>344</v>
      </c>
      <c r="O137" s="11" t="s">
        <v>6</v>
      </c>
    </row>
    <row r="138" spans="1:15">
      <c r="A138" s="12" t="s">
        <v>215</v>
      </c>
      <c r="B138" s="12"/>
      <c r="C138" s="12">
        <v>1</v>
      </c>
      <c r="D138" s="12">
        <v>2</v>
      </c>
      <c r="E138" s="12">
        <v>7.66</v>
      </c>
      <c r="F138" s="12">
        <v>30.19</v>
      </c>
      <c r="G138" s="12">
        <v>61.5</v>
      </c>
      <c r="H138" s="12" t="s">
        <v>293</v>
      </c>
      <c r="I138" s="12" t="s">
        <v>294</v>
      </c>
      <c r="J138" s="12" t="s">
        <v>297</v>
      </c>
      <c r="K138" s="12" t="s">
        <v>308</v>
      </c>
      <c r="L138" s="12" t="s">
        <v>340</v>
      </c>
      <c r="M138" s="12" t="s">
        <v>343</v>
      </c>
      <c r="N138" s="12" t="s">
        <v>344</v>
      </c>
      <c r="O138" s="12" t="s">
        <v>6</v>
      </c>
    </row>
    <row r="139" spans="1:15">
      <c r="A139" s="11" t="s">
        <v>216</v>
      </c>
      <c r="B139" s="11"/>
      <c r="C139" s="11">
        <v>1</v>
      </c>
      <c r="D139" s="11">
        <v>0</v>
      </c>
      <c r="E139" s="11">
        <v>4.44</v>
      </c>
      <c r="F139" s="11">
        <v>31.46</v>
      </c>
      <c r="G139" s="11">
        <v>12.04</v>
      </c>
      <c r="H139" s="11" t="s">
        <v>293</v>
      </c>
      <c r="I139" s="11" t="s">
        <v>294</v>
      </c>
      <c r="J139" s="11" t="s">
        <v>297</v>
      </c>
      <c r="K139" s="11" t="s">
        <v>308</v>
      </c>
      <c r="L139" s="11" t="s">
        <v>340</v>
      </c>
      <c r="M139" s="11" t="s">
        <v>343</v>
      </c>
      <c r="N139" s="11" t="s">
        <v>344</v>
      </c>
      <c r="O139" s="11" t="s">
        <v>6</v>
      </c>
    </row>
    <row r="140" spans="1:15">
      <c r="A140" s="12" t="s">
        <v>217</v>
      </c>
      <c r="B140" s="12"/>
      <c r="C140" s="12">
        <v>0</v>
      </c>
      <c r="D140" s="12">
        <v>3</v>
      </c>
      <c r="E140" s="12">
        <v>2.03</v>
      </c>
      <c r="F140" s="12">
        <v>27.53</v>
      </c>
      <c r="G140" s="12">
        <v>30.75</v>
      </c>
      <c r="H140" s="12" t="s">
        <v>293</v>
      </c>
      <c r="I140" s="12" t="s">
        <v>294</v>
      </c>
      <c r="J140" s="12" t="s">
        <v>298</v>
      </c>
      <c r="K140" s="12" t="s">
        <v>310</v>
      </c>
      <c r="L140" s="12" t="s">
        <v>230</v>
      </c>
      <c r="M140" s="12"/>
      <c r="N140" s="12" t="s">
        <v>344</v>
      </c>
      <c r="O140" s="12" t="s">
        <v>5</v>
      </c>
    </row>
    <row r="141" spans="1:15">
      <c r="A141" s="11" t="s">
        <v>218</v>
      </c>
      <c r="B141" s="11"/>
      <c r="C141" s="11">
        <v>2</v>
      </c>
      <c r="D141" s="11">
        <v>2</v>
      </c>
      <c r="E141" s="11">
        <v>4.48</v>
      </c>
      <c r="F141" s="11">
        <v>28.94</v>
      </c>
      <c r="G141" s="11">
        <v>10</v>
      </c>
      <c r="H141" s="11" t="s">
        <v>293</v>
      </c>
      <c r="I141" s="11" t="s">
        <v>294</v>
      </c>
      <c r="J141" s="11" t="s">
        <v>296</v>
      </c>
      <c r="K141" s="11" t="s">
        <v>296</v>
      </c>
      <c r="L141" s="11" t="s">
        <v>340</v>
      </c>
      <c r="M141" s="11" t="s">
        <v>343</v>
      </c>
      <c r="N141" s="11" t="s">
        <v>344</v>
      </c>
      <c r="O141" s="11" t="s">
        <v>6</v>
      </c>
    </row>
    <row r="142" spans="1:15">
      <c r="A142" s="12" t="s">
        <v>219</v>
      </c>
      <c r="B142" s="12"/>
      <c r="C142" s="12">
        <v>1</v>
      </c>
      <c r="D142" s="12">
        <v>1</v>
      </c>
      <c r="E142" s="12">
        <v>5.6</v>
      </c>
      <c r="F142" s="12">
        <v>0</v>
      </c>
      <c r="G142" s="12">
        <v>0</v>
      </c>
      <c r="H142" s="12" t="s">
        <v>293</v>
      </c>
      <c r="I142" s="12" t="s">
        <v>294</v>
      </c>
      <c r="J142" s="12" t="s">
        <v>296</v>
      </c>
      <c r="K142" s="12" t="s">
        <v>296</v>
      </c>
      <c r="L142" s="12" t="s">
        <v>340</v>
      </c>
      <c r="M142" s="12" t="s">
        <v>343</v>
      </c>
      <c r="N142" s="12" t="s">
        <v>344</v>
      </c>
      <c r="O142" s="12" t="s">
        <v>6</v>
      </c>
    </row>
    <row r="143" spans="1:15">
      <c r="A143" s="11" t="s">
        <v>220</v>
      </c>
      <c r="B143" s="11"/>
      <c r="C143" s="11">
        <v>1</v>
      </c>
      <c r="D143" s="11">
        <v>1</v>
      </c>
      <c r="E143" s="11">
        <v>9.220000000000001</v>
      </c>
      <c r="F143" s="11">
        <v>0</v>
      </c>
      <c r="G143" s="11">
        <v>0</v>
      </c>
      <c r="H143" s="11" t="s">
        <v>293</v>
      </c>
      <c r="I143" s="11" t="s">
        <v>294</v>
      </c>
      <c r="J143" s="11" t="s">
        <v>296</v>
      </c>
      <c r="K143" s="11" t="s">
        <v>296</v>
      </c>
      <c r="L143" s="11" t="s">
        <v>340</v>
      </c>
      <c r="M143" s="11" t="s">
        <v>343</v>
      </c>
      <c r="N143" s="11" t="s">
        <v>344</v>
      </c>
      <c r="O143" s="11" t="s">
        <v>6</v>
      </c>
    </row>
    <row r="144" spans="1:15">
      <c r="A144" s="12" t="s">
        <v>221</v>
      </c>
      <c r="B144" s="12" t="s">
        <v>292</v>
      </c>
      <c r="C144" s="12">
        <v>60</v>
      </c>
      <c r="D144" s="12">
        <v>59</v>
      </c>
      <c r="E144" s="12">
        <v>55.85</v>
      </c>
      <c r="F144" s="12">
        <v>65.43000000000001</v>
      </c>
      <c r="G144" s="12">
        <v>66.86</v>
      </c>
      <c r="H144" s="12" t="s">
        <v>293</v>
      </c>
      <c r="I144" s="12" t="s">
        <v>294</v>
      </c>
      <c r="J144" s="12" t="s">
        <v>296</v>
      </c>
      <c r="K144" s="12" t="s">
        <v>296</v>
      </c>
      <c r="L144" s="12" t="s">
        <v>340</v>
      </c>
      <c r="M144" s="12" t="s">
        <v>343</v>
      </c>
      <c r="N144" s="12" t="s">
        <v>344</v>
      </c>
      <c r="O144" s="12" t="s">
        <v>6</v>
      </c>
    </row>
    <row r="145" spans="1:15">
      <c r="A145" s="11" t="s">
        <v>222</v>
      </c>
      <c r="B145" s="11"/>
      <c r="C145" s="11">
        <v>2</v>
      </c>
      <c r="D145" s="11">
        <v>1</v>
      </c>
      <c r="E145" s="11">
        <v>2.83</v>
      </c>
      <c r="F145" s="11">
        <v>0</v>
      </c>
      <c r="G145" s="11">
        <v>0</v>
      </c>
      <c r="H145" s="11" t="s">
        <v>293</v>
      </c>
      <c r="I145" s="11" t="s">
        <v>294</v>
      </c>
      <c r="J145" s="11" t="s">
        <v>296</v>
      </c>
      <c r="K145" s="11" t="s">
        <v>296</v>
      </c>
      <c r="L145" s="11" t="s">
        <v>340</v>
      </c>
      <c r="M145" s="11" t="s">
        <v>343</v>
      </c>
      <c r="N145" s="11" t="s">
        <v>344</v>
      </c>
      <c r="O145" s="11" t="s">
        <v>6</v>
      </c>
    </row>
    <row r="146" spans="1:15">
      <c r="A146" s="12" t="s">
        <v>223</v>
      </c>
      <c r="B146" s="12"/>
      <c r="C146" s="12">
        <v>5</v>
      </c>
      <c r="D146" s="12">
        <v>5</v>
      </c>
      <c r="E146" s="12">
        <v>79.3</v>
      </c>
      <c r="F146" s="12">
        <v>64.84999999999999</v>
      </c>
      <c r="G146" s="12">
        <v>74</v>
      </c>
      <c r="H146" s="12" t="s">
        <v>293</v>
      </c>
      <c r="I146" s="12" t="s">
        <v>294</v>
      </c>
      <c r="J146" s="12" t="s">
        <v>296</v>
      </c>
      <c r="K146" s="12" t="s">
        <v>296</v>
      </c>
      <c r="L146" s="12" t="s">
        <v>340</v>
      </c>
      <c r="M146" s="12" t="s">
        <v>343</v>
      </c>
      <c r="N146" s="12" t="s">
        <v>344</v>
      </c>
      <c r="O146" s="12" t="s">
        <v>6</v>
      </c>
    </row>
    <row r="147" spans="1:15">
      <c r="A147" s="11" t="s">
        <v>224</v>
      </c>
      <c r="B147" s="11"/>
      <c r="C147" s="11">
        <v>3</v>
      </c>
      <c r="D147" s="11">
        <v>0</v>
      </c>
      <c r="E147" s="11">
        <v>28.06</v>
      </c>
      <c r="F147" s="11">
        <v>0</v>
      </c>
      <c r="G147" s="11">
        <v>0</v>
      </c>
      <c r="H147" s="11" t="s">
        <v>293</v>
      </c>
      <c r="I147" s="11" t="s">
        <v>294</v>
      </c>
      <c r="J147" s="11" t="s">
        <v>296</v>
      </c>
      <c r="K147" s="11" t="s">
        <v>296</v>
      </c>
      <c r="L147" s="11" t="s">
        <v>340</v>
      </c>
      <c r="M147" s="11" t="s">
        <v>343</v>
      </c>
      <c r="N147" s="11" t="s">
        <v>344</v>
      </c>
      <c r="O147" s="11" t="s">
        <v>6</v>
      </c>
    </row>
    <row r="148" spans="1:15">
      <c r="A148" s="12" t="s">
        <v>225</v>
      </c>
      <c r="B148" s="12"/>
      <c r="C148" s="12">
        <v>22</v>
      </c>
      <c r="D148" s="12">
        <v>22</v>
      </c>
      <c r="E148" s="12">
        <v>14.96</v>
      </c>
      <c r="F148" s="12">
        <v>19.14</v>
      </c>
      <c r="G148" s="12">
        <v>12.2</v>
      </c>
      <c r="H148" s="12" t="s">
        <v>293</v>
      </c>
      <c r="I148" s="12" t="s">
        <v>294</v>
      </c>
      <c r="J148" s="12" t="s">
        <v>296</v>
      </c>
      <c r="K148" s="12" t="s">
        <v>296</v>
      </c>
      <c r="L148" s="12" t="s">
        <v>340</v>
      </c>
      <c r="M148" s="12" t="s">
        <v>343</v>
      </c>
      <c r="N148" s="12" t="s">
        <v>344</v>
      </c>
      <c r="O148" s="12" t="s">
        <v>6</v>
      </c>
    </row>
    <row r="149" spans="1:15">
      <c r="A149" s="11" t="s">
        <v>226</v>
      </c>
      <c r="B149" s="11" t="s">
        <v>292</v>
      </c>
      <c r="C149" s="11">
        <v>63</v>
      </c>
      <c r="D149" s="11">
        <v>63</v>
      </c>
      <c r="E149" s="11">
        <v>19.76</v>
      </c>
      <c r="F149" s="11">
        <v>54.82</v>
      </c>
      <c r="G149" s="11">
        <v>60</v>
      </c>
      <c r="H149" s="11" t="s">
        <v>293</v>
      </c>
      <c r="I149" s="11" t="s">
        <v>294</v>
      </c>
      <c r="J149" s="11" t="s">
        <v>296</v>
      </c>
      <c r="K149" s="11" t="s">
        <v>296</v>
      </c>
      <c r="L149" s="11" t="s">
        <v>340</v>
      </c>
      <c r="M149" s="11" t="s">
        <v>343</v>
      </c>
      <c r="N149" s="11" t="s">
        <v>344</v>
      </c>
      <c r="O149" s="11" t="s">
        <v>6</v>
      </c>
    </row>
    <row r="150" spans="1:15">
      <c r="A150" s="12" t="s">
        <v>227</v>
      </c>
      <c r="B150" s="12"/>
      <c r="C150" s="12">
        <v>1</v>
      </c>
      <c r="D150" s="12">
        <v>1</v>
      </c>
      <c r="E150" s="12">
        <v>8.84</v>
      </c>
      <c r="F150" s="12">
        <v>0</v>
      </c>
      <c r="G150" s="12">
        <v>0</v>
      </c>
      <c r="H150" s="12" t="s">
        <v>293</v>
      </c>
      <c r="I150" s="12" t="s">
        <v>294</v>
      </c>
      <c r="J150" s="12" t="s">
        <v>298</v>
      </c>
      <c r="K150" s="12" t="s">
        <v>310</v>
      </c>
      <c r="L150" s="12" t="s">
        <v>340</v>
      </c>
      <c r="M150" s="12" t="s">
        <v>343</v>
      </c>
      <c r="N150" s="12" t="s">
        <v>344</v>
      </c>
      <c r="O150" s="12" t="s">
        <v>6</v>
      </c>
    </row>
    <row r="151" spans="1:15">
      <c r="A151" s="11" t="s">
        <v>228</v>
      </c>
      <c r="B151" s="11"/>
      <c r="C151" s="11">
        <v>1</v>
      </c>
      <c r="D151" s="11">
        <v>0</v>
      </c>
      <c r="E151" s="11">
        <v>0.02</v>
      </c>
      <c r="F151" s="11">
        <v>0</v>
      </c>
      <c r="G151" s="11">
        <v>0</v>
      </c>
      <c r="H151" s="11" t="s">
        <v>293</v>
      </c>
      <c r="I151" s="11" t="s">
        <v>294</v>
      </c>
      <c r="J151" s="11" t="s">
        <v>298</v>
      </c>
      <c r="K151" s="11" t="s">
        <v>310</v>
      </c>
      <c r="L151" s="11" t="s">
        <v>340</v>
      </c>
      <c r="M151" s="11" t="s">
        <v>343</v>
      </c>
      <c r="N151" s="11" t="s">
        <v>344</v>
      </c>
      <c r="O151" s="11" t="s">
        <v>6</v>
      </c>
    </row>
    <row r="152" spans="1:15">
      <c r="A152" s="12" t="s">
        <v>229</v>
      </c>
      <c r="B152" s="12"/>
      <c r="C152" s="12">
        <v>2</v>
      </c>
      <c r="D152" s="12">
        <v>0</v>
      </c>
      <c r="E152" s="12">
        <v>19.62</v>
      </c>
      <c r="F152" s="12">
        <v>89.98</v>
      </c>
      <c r="G152" s="12">
        <v>84.59999999999999</v>
      </c>
      <c r="H152" s="12" t="s">
        <v>293</v>
      </c>
      <c r="I152" s="12" t="s">
        <v>294</v>
      </c>
      <c r="J152" s="12" t="s">
        <v>298</v>
      </c>
      <c r="K152" s="12" t="s">
        <v>310</v>
      </c>
      <c r="L152" s="12" t="s">
        <v>230</v>
      </c>
      <c r="M152" s="12"/>
      <c r="N152" s="12" t="s">
        <v>344</v>
      </c>
      <c r="O152" s="12" t="s">
        <v>5</v>
      </c>
    </row>
    <row r="153" spans="1:15">
      <c r="A153" s="11" t="s">
        <v>230</v>
      </c>
      <c r="B153" s="11"/>
      <c r="C153" s="11">
        <v>1</v>
      </c>
      <c r="D153" s="11">
        <v>1</v>
      </c>
      <c r="E153" s="11">
        <v>5.8</v>
      </c>
      <c r="F153" s="11">
        <v>44.28</v>
      </c>
      <c r="G153" s="11">
        <v>12</v>
      </c>
      <c r="H153" s="11" t="s">
        <v>293</v>
      </c>
      <c r="I153" s="11"/>
      <c r="J153" s="11"/>
      <c r="K153" s="11"/>
      <c r="L153" s="11" t="s">
        <v>230</v>
      </c>
      <c r="M153" s="11"/>
      <c r="N153" s="11" t="s">
        <v>344</v>
      </c>
      <c r="O153" s="11" t="s">
        <v>5</v>
      </c>
    </row>
    <row r="154" spans="1:15">
      <c r="A154" s="12" t="s">
        <v>231</v>
      </c>
      <c r="B154" s="12"/>
      <c r="C154" s="12">
        <v>289</v>
      </c>
      <c r="D154" s="12">
        <v>250</v>
      </c>
      <c r="E154" s="12">
        <v>9.02</v>
      </c>
      <c r="F154" s="12">
        <v>42.87</v>
      </c>
      <c r="G154" s="12">
        <v>34.78</v>
      </c>
      <c r="H154" s="12" t="s">
        <v>293</v>
      </c>
      <c r="I154" s="12" t="s">
        <v>294</v>
      </c>
      <c r="J154" s="12" t="s">
        <v>298</v>
      </c>
      <c r="K154" s="12" t="s">
        <v>336</v>
      </c>
      <c r="L154" s="12" t="s">
        <v>230</v>
      </c>
      <c r="M154" s="12"/>
      <c r="N154" s="12" t="s">
        <v>344</v>
      </c>
      <c r="O154" s="12" t="s">
        <v>5</v>
      </c>
    </row>
    <row r="155" spans="1:15">
      <c r="A155" s="11" t="s">
        <v>232</v>
      </c>
      <c r="B155" s="11"/>
      <c r="C155" s="11">
        <v>2</v>
      </c>
      <c r="D155" s="11">
        <v>0</v>
      </c>
      <c r="E155" s="11">
        <v>8.369999999999999</v>
      </c>
      <c r="F155" s="11">
        <v>43.81</v>
      </c>
      <c r="G155" s="11">
        <v>35</v>
      </c>
      <c r="H155" s="11" t="s">
        <v>293</v>
      </c>
      <c r="I155" s="11" t="s">
        <v>294</v>
      </c>
      <c r="J155" s="11" t="s">
        <v>296</v>
      </c>
      <c r="K155" s="11" t="s">
        <v>296</v>
      </c>
      <c r="L155" s="11" t="s">
        <v>230</v>
      </c>
      <c r="M155" s="11"/>
      <c r="N155" s="11" t="s">
        <v>344</v>
      </c>
      <c r="O155" s="11" t="s">
        <v>5</v>
      </c>
    </row>
    <row r="156" spans="1:15">
      <c r="A156" s="12" t="s">
        <v>233</v>
      </c>
      <c r="B156" s="12"/>
      <c r="C156" s="12">
        <v>1</v>
      </c>
      <c r="D156" s="12">
        <v>0</v>
      </c>
      <c r="E156" s="12">
        <v>1.96</v>
      </c>
      <c r="F156" s="12">
        <v>16.02</v>
      </c>
      <c r="G156" s="12">
        <v>75</v>
      </c>
      <c r="H156" s="12" t="s">
        <v>293</v>
      </c>
      <c r="I156" s="12" t="s">
        <v>294</v>
      </c>
      <c r="J156" s="12" t="s">
        <v>296</v>
      </c>
      <c r="K156" s="12" t="s">
        <v>296</v>
      </c>
      <c r="L156" s="12" t="s">
        <v>230</v>
      </c>
      <c r="M156" s="12"/>
      <c r="N156" s="12" t="s">
        <v>344</v>
      </c>
      <c r="O156" s="12" t="s">
        <v>5</v>
      </c>
    </row>
    <row r="157" spans="1:15">
      <c r="A157" s="11" t="s">
        <v>234</v>
      </c>
      <c r="B157" s="11"/>
      <c r="C157" s="11">
        <v>2</v>
      </c>
      <c r="D157" s="11">
        <v>0</v>
      </c>
      <c r="E157" s="11">
        <v>65.15000000000001</v>
      </c>
      <c r="F157" s="11">
        <v>83.90000000000001</v>
      </c>
      <c r="G157" s="11">
        <v>84.65000000000001</v>
      </c>
      <c r="H157" s="11" t="s">
        <v>293</v>
      </c>
      <c r="I157" s="11" t="s">
        <v>294</v>
      </c>
      <c r="J157" s="11" t="s">
        <v>296</v>
      </c>
      <c r="K157" s="11" t="s">
        <v>296</v>
      </c>
      <c r="L157" s="11" t="s">
        <v>230</v>
      </c>
      <c r="M157" s="11"/>
      <c r="N157" s="11" t="s">
        <v>344</v>
      </c>
      <c r="O157" s="11" t="s">
        <v>5</v>
      </c>
    </row>
    <row r="158" spans="1:15">
      <c r="A158" s="12" t="s">
        <v>235</v>
      </c>
      <c r="B158" s="12"/>
      <c r="C158" s="12">
        <v>1</v>
      </c>
      <c r="D158" s="12">
        <v>0</v>
      </c>
      <c r="E158" s="12">
        <v>2.3</v>
      </c>
      <c r="F158" s="12">
        <v>0</v>
      </c>
      <c r="G158" s="12">
        <v>0</v>
      </c>
      <c r="H158" s="12" t="s">
        <v>293</v>
      </c>
      <c r="I158" s="12" t="s">
        <v>294</v>
      </c>
      <c r="J158" s="12" t="s">
        <v>298</v>
      </c>
      <c r="K158" s="12" t="s">
        <v>310</v>
      </c>
      <c r="L158" s="12" t="s">
        <v>340</v>
      </c>
      <c r="M158" s="12" t="s">
        <v>343</v>
      </c>
      <c r="N158" s="12" t="s">
        <v>344</v>
      </c>
      <c r="O158" s="12" t="s">
        <v>6</v>
      </c>
    </row>
    <row r="159" spans="1:15">
      <c r="A159" s="11" t="s">
        <v>236</v>
      </c>
      <c r="B159" s="11"/>
      <c r="C159" s="11">
        <v>0</v>
      </c>
      <c r="D159" s="11">
        <v>6</v>
      </c>
      <c r="E159" s="11">
        <v>30.84</v>
      </c>
      <c r="F159" s="11">
        <v>81.55</v>
      </c>
      <c r="G159" s="11">
        <v>78.77</v>
      </c>
      <c r="H159" s="11" t="s">
        <v>293</v>
      </c>
      <c r="I159" s="11"/>
      <c r="J159" s="11"/>
      <c r="K159" s="11"/>
      <c r="L159" s="11" t="s">
        <v>230</v>
      </c>
      <c r="M159" s="11"/>
      <c r="N159" s="11" t="s">
        <v>344</v>
      </c>
      <c r="O159" s="11" t="s">
        <v>5</v>
      </c>
    </row>
    <row r="160" spans="1:15">
      <c r="A160" s="12" t="s">
        <v>237</v>
      </c>
      <c r="B160" s="12"/>
      <c r="C160" s="12">
        <v>0</v>
      </c>
      <c r="D160" s="12">
        <v>2</v>
      </c>
      <c r="E160" s="12">
        <v>8.050000000000001</v>
      </c>
      <c r="F160" s="12">
        <v>91.98999999999999</v>
      </c>
      <c r="G160" s="12">
        <v>28.9</v>
      </c>
      <c r="H160" s="12" t="s">
        <v>293</v>
      </c>
      <c r="I160" s="12" t="s">
        <v>294</v>
      </c>
      <c r="J160" s="12" t="s">
        <v>296</v>
      </c>
      <c r="K160" s="12" t="s">
        <v>296</v>
      </c>
      <c r="L160" s="12" t="s">
        <v>230</v>
      </c>
      <c r="M160" s="12"/>
      <c r="N160" s="12" t="s">
        <v>344</v>
      </c>
      <c r="O160" s="12" t="s">
        <v>5</v>
      </c>
    </row>
    <row r="161" spans="1:15">
      <c r="A161" s="11" t="s">
        <v>238</v>
      </c>
      <c r="B161" s="11"/>
      <c r="C161" s="11">
        <v>0</v>
      </c>
      <c r="D161" s="11">
        <v>2</v>
      </c>
      <c r="E161" s="11">
        <v>17.27</v>
      </c>
      <c r="F161" s="11">
        <v>94.62</v>
      </c>
      <c r="G161" s="11">
        <v>48.85</v>
      </c>
      <c r="H161" s="11" t="s">
        <v>293</v>
      </c>
      <c r="I161" s="11" t="s">
        <v>294</v>
      </c>
      <c r="J161" s="11" t="s">
        <v>296</v>
      </c>
      <c r="K161" s="11" t="s">
        <v>296</v>
      </c>
      <c r="L161" s="11" t="s">
        <v>230</v>
      </c>
      <c r="M161" s="11"/>
      <c r="N161" s="11" t="s">
        <v>344</v>
      </c>
      <c r="O161" s="11" t="s">
        <v>5</v>
      </c>
    </row>
    <row r="162" spans="1:15">
      <c r="A162" s="12" t="s">
        <v>239</v>
      </c>
      <c r="B162" s="12"/>
      <c r="C162" s="12">
        <v>0</v>
      </c>
      <c r="D162" s="12">
        <v>6</v>
      </c>
      <c r="E162" s="12">
        <v>9.76</v>
      </c>
      <c r="F162" s="12">
        <v>80.89</v>
      </c>
      <c r="G162" s="12">
        <v>81.75</v>
      </c>
      <c r="H162" s="12" t="s">
        <v>293</v>
      </c>
      <c r="I162" s="12" t="s">
        <v>294</v>
      </c>
      <c r="J162" s="12" t="s">
        <v>296</v>
      </c>
      <c r="K162" s="12" t="s">
        <v>296</v>
      </c>
      <c r="L162" s="12" t="s">
        <v>230</v>
      </c>
      <c r="M162" s="12"/>
      <c r="N162" s="12" t="s">
        <v>344</v>
      </c>
      <c r="O162" s="12" t="s">
        <v>5</v>
      </c>
    </row>
    <row r="163" spans="1:15">
      <c r="A163" s="11" t="s">
        <v>240</v>
      </c>
      <c r="B163" s="11"/>
      <c r="C163" s="11">
        <v>0</v>
      </c>
      <c r="D163" s="11">
        <v>8</v>
      </c>
      <c r="E163" s="11">
        <v>39.33</v>
      </c>
      <c r="F163" s="11">
        <v>91.05</v>
      </c>
      <c r="G163" s="11">
        <v>41.9</v>
      </c>
      <c r="H163" s="11" t="s">
        <v>293</v>
      </c>
      <c r="I163" s="11" t="s">
        <v>294</v>
      </c>
      <c r="J163" s="11" t="s">
        <v>296</v>
      </c>
      <c r="K163" s="11" t="s">
        <v>296</v>
      </c>
      <c r="L163" s="11" t="s">
        <v>230</v>
      </c>
      <c r="M163" s="11"/>
      <c r="N163" s="11" t="s">
        <v>344</v>
      </c>
      <c r="O163" s="11" t="s">
        <v>5</v>
      </c>
    </row>
    <row r="164" spans="1:15">
      <c r="A164" s="12" t="s">
        <v>241</v>
      </c>
      <c r="B164" s="12"/>
      <c r="C164" s="12">
        <v>0</v>
      </c>
      <c r="D164" s="12">
        <v>8</v>
      </c>
      <c r="E164" s="12">
        <v>39.4</v>
      </c>
      <c r="F164" s="12">
        <v>75.45</v>
      </c>
      <c r="G164" s="12">
        <v>100</v>
      </c>
      <c r="H164" s="12" t="s">
        <v>293</v>
      </c>
      <c r="I164" s="12" t="s">
        <v>294</v>
      </c>
      <c r="J164" s="12" t="s">
        <v>296</v>
      </c>
      <c r="K164" s="12" t="s">
        <v>296</v>
      </c>
      <c r="L164" s="12" t="s">
        <v>230</v>
      </c>
      <c r="M164" s="12"/>
      <c r="N164" s="12" t="s">
        <v>344</v>
      </c>
      <c r="O164" s="12" t="s">
        <v>5</v>
      </c>
    </row>
    <row r="165" spans="1:15">
      <c r="A165" s="11" t="s">
        <v>242</v>
      </c>
      <c r="B165" s="11"/>
      <c r="C165" s="11">
        <v>0</v>
      </c>
      <c r="D165" s="11">
        <v>2</v>
      </c>
      <c r="E165" s="11">
        <v>13.1</v>
      </c>
      <c r="F165" s="11">
        <v>85.31</v>
      </c>
      <c r="G165" s="11">
        <v>26</v>
      </c>
      <c r="H165" s="11" t="s">
        <v>293</v>
      </c>
      <c r="I165" s="11" t="s">
        <v>294</v>
      </c>
      <c r="J165" s="11" t="s">
        <v>296</v>
      </c>
      <c r="K165" s="11" t="s">
        <v>296</v>
      </c>
      <c r="L165" s="11" t="s">
        <v>230</v>
      </c>
      <c r="M165" s="11"/>
      <c r="N165" s="11" t="s">
        <v>344</v>
      </c>
      <c r="O165" s="11" t="s">
        <v>5</v>
      </c>
    </row>
    <row r="166" spans="1:15">
      <c r="A166" s="12" t="s">
        <v>243</v>
      </c>
      <c r="B166" s="12"/>
      <c r="C166" s="12">
        <v>0</v>
      </c>
      <c r="D166" s="12">
        <v>2</v>
      </c>
      <c r="E166" s="12">
        <v>8.779999999999999</v>
      </c>
      <c r="F166" s="12">
        <v>96.04000000000001</v>
      </c>
      <c r="G166" s="12">
        <v>31.95</v>
      </c>
      <c r="H166" s="12" t="s">
        <v>293</v>
      </c>
      <c r="I166" s="12" t="s">
        <v>294</v>
      </c>
      <c r="J166" s="12" t="s">
        <v>296</v>
      </c>
      <c r="K166" s="12" t="s">
        <v>296</v>
      </c>
      <c r="L166" s="12" t="s">
        <v>230</v>
      </c>
      <c r="M166" s="12"/>
      <c r="N166" s="12" t="s">
        <v>344</v>
      </c>
      <c r="O166" s="12" t="s">
        <v>5</v>
      </c>
    </row>
    <row r="167" spans="1:15">
      <c r="A167" s="11" t="s">
        <v>244</v>
      </c>
      <c r="B167" s="11"/>
      <c r="C167" s="11">
        <v>0</v>
      </c>
      <c r="D167" s="11">
        <v>2</v>
      </c>
      <c r="E167" s="11">
        <v>37.91</v>
      </c>
      <c r="F167" s="11">
        <v>80.13</v>
      </c>
      <c r="G167" s="11">
        <v>76.25</v>
      </c>
      <c r="H167" s="11" t="s">
        <v>293</v>
      </c>
      <c r="I167" s="11" t="s">
        <v>294</v>
      </c>
      <c r="J167" s="11" t="s">
        <v>296</v>
      </c>
      <c r="K167" s="11" t="s">
        <v>296</v>
      </c>
      <c r="L167" s="11" t="s">
        <v>230</v>
      </c>
      <c r="M167" s="11"/>
      <c r="N167" s="11" t="s">
        <v>344</v>
      </c>
      <c r="O167" s="11" t="s">
        <v>5</v>
      </c>
    </row>
    <row r="168" spans="1:15">
      <c r="A168" s="12" t="s">
        <v>245</v>
      </c>
      <c r="B168" s="12"/>
      <c r="C168" s="12">
        <v>0</v>
      </c>
      <c r="D168" s="12">
        <v>5</v>
      </c>
      <c r="E168" s="12">
        <v>8.32</v>
      </c>
      <c r="F168" s="12">
        <v>79.08</v>
      </c>
      <c r="G168" s="12">
        <v>42.2</v>
      </c>
      <c r="H168" s="12" t="s">
        <v>293</v>
      </c>
      <c r="I168" s="12" t="s">
        <v>294</v>
      </c>
      <c r="J168" s="12" t="s">
        <v>296</v>
      </c>
      <c r="K168" s="12" t="s">
        <v>296</v>
      </c>
      <c r="L168" s="12" t="s">
        <v>230</v>
      </c>
      <c r="M168" s="12"/>
      <c r="N168" s="12" t="s">
        <v>344</v>
      </c>
      <c r="O168" s="12" t="s">
        <v>5</v>
      </c>
    </row>
    <row r="169" spans="1:15">
      <c r="A169" s="11" t="s">
        <v>246</v>
      </c>
      <c r="B169" s="11"/>
      <c r="C169" s="11">
        <v>0</v>
      </c>
      <c r="D169" s="11">
        <v>2</v>
      </c>
      <c r="E169" s="11">
        <v>4.88</v>
      </c>
      <c r="F169" s="11">
        <v>14.82</v>
      </c>
      <c r="G169" s="11">
        <v>34.85</v>
      </c>
      <c r="H169" s="11" t="s">
        <v>293</v>
      </c>
      <c r="I169" s="11" t="s">
        <v>294</v>
      </c>
      <c r="J169" s="11" t="s">
        <v>296</v>
      </c>
      <c r="K169" s="11" t="s">
        <v>296</v>
      </c>
      <c r="L169" s="11" t="s">
        <v>230</v>
      </c>
      <c r="M169" s="11"/>
      <c r="N169" s="11" t="s">
        <v>344</v>
      </c>
      <c r="O169" s="11" t="s">
        <v>5</v>
      </c>
    </row>
    <row r="170" spans="1:15">
      <c r="A170" s="12" t="s">
        <v>247</v>
      </c>
      <c r="B170" s="12"/>
      <c r="C170" s="12">
        <v>0</v>
      </c>
      <c r="D170" s="12">
        <v>2</v>
      </c>
      <c r="E170" s="12">
        <v>8.710000000000001</v>
      </c>
      <c r="F170" s="12">
        <v>78.97</v>
      </c>
      <c r="G170" s="12">
        <v>69.2</v>
      </c>
      <c r="H170" s="12" t="s">
        <v>293</v>
      </c>
      <c r="I170" s="12" t="s">
        <v>294</v>
      </c>
      <c r="J170" s="12" t="s">
        <v>296</v>
      </c>
      <c r="K170" s="12" t="s">
        <v>296</v>
      </c>
      <c r="L170" s="12" t="s">
        <v>230</v>
      </c>
      <c r="M170" s="12"/>
      <c r="N170" s="12" t="s">
        <v>344</v>
      </c>
      <c r="O170" s="12" t="s">
        <v>5</v>
      </c>
    </row>
    <row r="171" spans="1:15">
      <c r="A171" s="11" t="s">
        <v>248</v>
      </c>
      <c r="B171" s="11"/>
      <c r="C171" s="11">
        <v>0</v>
      </c>
      <c r="D171" s="11">
        <v>46</v>
      </c>
      <c r="E171" s="11">
        <v>33.72</v>
      </c>
      <c r="F171" s="11">
        <v>82.64</v>
      </c>
      <c r="G171" s="11">
        <v>80.5</v>
      </c>
      <c r="H171" s="11" t="s">
        <v>293</v>
      </c>
      <c r="I171" s="11" t="s">
        <v>294</v>
      </c>
      <c r="J171" s="11" t="s">
        <v>296</v>
      </c>
      <c r="K171" s="11" t="s">
        <v>296</v>
      </c>
      <c r="L171" s="11" t="s">
        <v>230</v>
      </c>
      <c r="M171" s="11"/>
      <c r="N171" s="11" t="s">
        <v>344</v>
      </c>
      <c r="O171" s="11" t="s">
        <v>5</v>
      </c>
    </row>
    <row r="172" spans="1:15">
      <c r="A172" s="12" t="s">
        <v>249</v>
      </c>
      <c r="B172" s="12"/>
      <c r="C172" s="12">
        <v>0</v>
      </c>
      <c r="D172" s="12">
        <v>6</v>
      </c>
      <c r="E172" s="12">
        <v>5.54</v>
      </c>
      <c r="F172" s="12">
        <v>43.23</v>
      </c>
      <c r="G172" s="12">
        <v>20.2</v>
      </c>
      <c r="H172" s="12" t="s">
        <v>293</v>
      </c>
      <c r="I172" s="12" t="s">
        <v>294</v>
      </c>
      <c r="J172" s="12" t="s">
        <v>296</v>
      </c>
      <c r="K172" s="12" t="s">
        <v>296</v>
      </c>
      <c r="L172" s="12" t="s">
        <v>230</v>
      </c>
      <c r="M172" s="12"/>
      <c r="N172" s="12" t="s">
        <v>344</v>
      </c>
      <c r="O172" s="12" t="s">
        <v>5</v>
      </c>
    </row>
    <row r="173" spans="1:15">
      <c r="A173" s="11" t="s">
        <v>250</v>
      </c>
      <c r="B173" s="11"/>
      <c r="C173" s="11">
        <v>0</v>
      </c>
      <c r="D173" s="11">
        <v>6</v>
      </c>
      <c r="E173" s="11">
        <v>8.449999999999999</v>
      </c>
      <c r="F173" s="11">
        <v>93.90000000000001</v>
      </c>
      <c r="G173" s="11">
        <v>97</v>
      </c>
      <c r="H173" s="11" t="s">
        <v>293</v>
      </c>
      <c r="I173" s="11" t="s">
        <v>294</v>
      </c>
      <c r="J173" s="11" t="s">
        <v>296</v>
      </c>
      <c r="K173" s="11" t="s">
        <v>296</v>
      </c>
      <c r="L173" s="11" t="s">
        <v>230</v>
      </c>
      <c r="M173" s="11"/>
      <c r="N173" s="11" t="s">
        <v>344</v>
      </c>
      <c r="O173" s="11" t="s">
        <v>5</v>
      </c>
    </row>
    <row r="174" spans="1:15">
      <c r="A174" s="12" t="s">
        <v>251</v>
      </c>
      <c r="B174" s="12"/>
      <c r="C174" s="12">
        <v>0</v>
      </c>
      <c r="D174" s="12">
        <v>2</v>
      </c>
      <c r="E174" s="12">
        <v>5.6</v>
      </c>
      <c r="F174" s="12">
        <v>77.2</v>
      </c>
      <c r="G174" s="12">
        <v>27.75</v>
      </c>
      <c r="H174" s="12" t="s">
        <v>293</v>
      </c>
      <c r="I174" s="12" t="s">
        <v>294</v>
      </c>
      <c r="J174" s="12" t="s">
        <v>296</v>
      </c>
      <c r="K174" s="12" t="s">
        <v>296</v>
      </c>
      <c r="L174" s="12" t="s">
        <v>230</v>
      </c>
      <c r="M174" s="12"/>
      <c r="N174" s="12" t="s">
        <v>344</v>
      </c>
      <c r="O174" s="12" t="s">
        <v>5</v>
      </c>
    </row>
    <row r="175" spans="1:15">
      <c r="A175" s="11" t="s">
        <v>252</v>
      </c>
      <c r="B175" s="11"/>
      <c r="C175" s="11">
        <v>0</v>
      </c>
      <c r="D175" s="11">
        <v>10</v>
      </c>
      <c r="E175" s="11">
        <v>9.76</v>
      </c>
      <c r="F175" s="11">
        <v>77.44</v>
      </c>
      <c r="G175" s="11">
        <v>37.75</v>
      </c>
      <c r="H175" s="11" t="s">
        <v>293</v>
      </c>
      <c r="I175" s="11" t="s">
        <v>294</v>
      </c>
      <c r="J175" s="11" t="s">
        <v>296</v>
      </c>
      <c r="K175" s="11" t="s">
        <v>296</v>
      </c>
      <c r="L175" s="11" t="s">
        <v>230</v>
      </c>
      <c r="M175" s="11"/>
      <c r="N175" s="11" t="s">
        <v>344</v>
      </c>
      <c r="O175" s="11" t="s">
        <v>5</v>
      </c>
    </row>
    <row r="176" spans="1:15">
      <c r="A176" s="12" t="s">
        <v>253</v>
      </c>
      <c r="B176" s="12"/>
      <c r="C176" s="12">
        <v>0</v>
      </c>
      <c r="D176" s="12">
        <v>2</v>
      </c>
      <c r="E176" s="12">
        <v>5.96</v>
      </c>
      <c r="F176" s="12">
        <v>59.07</v>
      </c>
      <c r="G176" s="12">
        <v>67.55</v>
      </c>
      <c r="H176" s="12" t="s">
        <v>293</v>
      </c>
      <c r="I176" s="12" t="s">
        <v>294</v>
      </c>
      <c r="J176" s="12" t="s">
        <v>296</v>
      </c>
      <c r="K176" s="12" t="s">
        <v>296</v>
      </c>
      <c r="L176" s="12" t="s">
        <v>230</v>
      </c>
      <c r="M176" s="12"/>
      <c r="N176" s="12" t="s">
        <v>344</v>
      </c>
      <c r="O176" s="12" t="s">
        <v>5</v>
      </c>
    </row>
    <row r="177" spans="1:15">
      <c r="A177" s="11" t="s">
        <v>254</v>
      </c>
      <c r="B177" s="11"/>
      <c r="C177" s="11">
        <v>0</v>
      </c>
      <c r="D177" s="11">
        <v>2</v>
      </c>
      <c r="E177" s="11">
        <v>5.48</v>
      </c>
      <c r="F177" s="11">
        <v>80.89</v>
      </c>
      <c r="G177" s="11">
        <v>35.55</v>
      </c>
      <c r="H177" s="11" t="s">
        <v>293</v>
      </c>
      <c r="I177" s="11" t="s">
        <v>294</v>
      </c>
      <c r="J177" s="11" t="s">
        <v>296</v>
      </c>
      <c r="K177" s="11" t="s">
        <v>296</v>
      </c>
      <c r="L177" s="11" t="s">
        <v>230</v>
      </c>
      <c r="M177" s="11"/>
      <c r="N177" s="11" t="s">
        <v>344</v>
      </c>
      <c r="O177" s="11" t="s">
        <v>5</v>
      </c>
    </row>
    <row r="178" spans="1:15">
      <c r="A178" s="12" t="s">
        <v>255</v>
      </c>
      <c r="B178" s="12"/>
      <c r="C178" s="12">
        <v>0</v>
      </c>
      <c r="D178" s="12">
        <v>2</v>
      </c>
      <c r="E178" s="12">
        <v>5.99</v>
      </c>
      <c r="F178" s="12">
        <v>63.71</v>
      </c>
      <c r="G178" s="12">
        <v>24.9</v>
      </c>
      <c r="H178" s="12" t="s">
        <v>293</v>
      </c>
      <c r="I178" s="12" t="s">
        <v>294</v>
      </c>
      <c r="J178" s="12" t="s">
        <v>296</v>
      </c>
      <c r="K178" s="12" t="s">
        <v>296</v>
      </c>
      <c r="L178" s="12" t="s">
        <v>230</v>
      </c>
      <c r="M178" s="12"/>
      <c r="N178" s="12" t="s">
        <v>344</v>
      </c>
      <c r="O178" s="12" t="s">
        <v>5</v>
      </c>
    </row>
    <row r="179" spans="1:15">
      <c r="A179" s="11" t="s">
        <v>256</v>
      </c>
      <c r="B179" s="11"/>
      <c r="C179" s="11">
        <v>0</v>
      </c>
      <c r="D179" s="11">
        <v>2</v>
      </c>
      <c r="E179" s="11">
        <v>8.34</v>
      </c>
      <c r="F179" s="11">
        <v>81.03</v>
      </c>
      <c r="G179" s="11">
        <v>33.85</v>
      </c>
      <c r="H179" s="11" t="s">
        <v>293</v>
      </c>
      <c r="I179" s="11" t="s">
        <v>294</v>
      </c>
      <c r="J179" s="11" t="s">
        <v>296</v>
      </c>
      <c r="K179" s="11" t="s">
        <v>296</v>
      </c>
      <c r="L179" s="11" t="s">
        <v>230</v>
      </c>
      <c r="M179" s="11"/>
      <c r="N179" s="11" t="s">
        <v>344</v>
      </c>
      <c r="O179" s="11" t="s">
        <v>5</v>
      </c>
    </row>
    <row r="180" spans="1:15">
      <c r="A180" s="12" t="s">
        <v>257</v>
      </c>
      <c r="B180" s="12"/>
      <c r="C180" s="12">
        <v>0</v>
      </c>
      <c r="D180" s="12">
        <v>11</v>
      </c>
      <c r="E180" s="12">
        <v>12.87</v>
      </c>
      <c r="F180" s="12">
        <v>93.26000000000001</v>
      </c>
      <c r="G180" s="12">
        <v>73.5</v>
      </c>
      <c r="H180" s="12" t="s">
        <v>293</v>
      </c>
      <c r="I180" s="12" t="s">
        <v>294</v>
      </c>
      <c r="J180" s="12" t="s">
        <v>296</v>
      </c>
      <c r="K180" s="12" t="s">
        <v>296</v>
      </c>
      <c r="L180" s="12" t="s">
        <v>230</v>
      </c>
      <c r="M180" s="12"/>
      <c r="N180" s="12" t="s">
        <v>344</v>
      </c>
      <c r="O180" s="12" t="s">
        <v>5</v>
      </c>
    </row>
    <row r="181" spans="1:15">
      <c r="A181" s="11" t="s">
        <v>258</v>
      </c>
      <c r="B181" s="11"/>
      <c r="C181" s="11">
        <v>0</v>
      </c>
      <c r="D181" s="11">
        <v>2</v>
      </c>
      <c r="E181" s="11">
        <v>6.82</v>
      </c>
      <c r="F181" s="11">
        <v>54.52</v>
      </c>
      <c r="G181" s="11">
        <v>96.25</v>
      </c>
      <c r="H181" s="11" t="s">
        <v>293</v>
      </c>
      <c r="I181" s="11" t="s">
        <v>294</v>
      </c>
      <c r="J181" s="11" t="s">
        <v>296</v>
      </c>
      <c r="K181" s="11" t="s">
        <v>296</v>
      </c>
      <c r="L181" s="11" t="s">
        <v>230</v>
      </c>
      <c r="M181" s="11"/>
      <c r="N181" s="11" t="s">
        <v>344</v>
      </c>
      <c r="O181" s="11" t="s">
        <v>5</v>
      </c>
    </row>
    <row r="182" spans="1:15">
      <c r="A182" s="12" t="s">
        <v>259</v>
      </c>
      <c r="B182" s="12"/>
      <c r="C182" s="12">
        <v>0</v>
      </c>
      <c r="D182" s="12">
        <v>8</v>
      </c>
      <c r="E182" s="12">
        <v>9.550000000000001</v>
      </c>
      <c r="F182" s="12">
        <v>89.25</v>
      </c>
      <c r="G182" s="12">
        <v>63</v>
      </c>
      <c r="H182" s="12" t="s">
        <v>293</v>
      </c>
      <c r="I182" s="12" t="s">
        <v>294</v>
      </c>
      <c r="J182" s="12" t="s">
        <v>296</v>
      </c>
      <c r="K182" s="12" t="s">
        <v>296</v>
      </c>
      <c r="L182" s="12" t="s">
        <v>230</v>
      </c>
      <c r="M182" s="12"/>
      <c r="N182" s="12" t="s">
        <v>344</v>
      </c>
      <c r="O182" s="12" t="s">
        <v>5</v>
      </c>
    </row>
    <row r="183" spans="1:15">
      <c r="A183" s="11" t="s">
        <v>260</v>
      </c>
      <c r="B183" s="11"/>
      <c r="C183" s="11">
        <v>0</v>
      </c>
      <c r="D183" s="11">
        <v>2</v>
      </c>
      <c r="E183" s="11">
        <v>8.039999999999999</v>
      </c>
      <c r="F183" s="11">
        <v>78.61</v>
      </c>
      <c r="G183" s="11">
        <v>39.3</v>
      </c>
      <c r="H183" s="11" t="s">
        <v>293</v>
      </c>
      <c r="I183" s="11" t="s">
        <v>294</v>
      </c>
      <c r="J183" s="11" t="s">
        <v>296</v>
      </c>
      <c r="K183" s="11" t="s">
        <v>296</v>
      </c>
      <c r="L183" s="11" t="s">
        <v>230</v>
      </c>
      <c r="M183" s="11"/>
      <c r="N183" s="11" t="s">
        <v>344</v>
      </c>
      <c r="O183" s="11" t="s">
        <v>5</v>
      </c>
    </row>
    <row r="184" spans="1:15">
      <c r="A184" s="12" t="s">
        <v>261</v>
      </c>
      <c r="B184" s="12"/>
      <c r="C184" s="12">
        <v>0</v>
      </c>
      <c r="D184" s="12">
        <v>3</v>
      </c>
      <c r="E184" s="12">
        <v>36.97</v>
      </c>
      <c r="F184" s="12">
        <v>80.40000000000001</v>
      </c>
      <c r="G184" s="12">
        <v>44.7</v>
      </c>
      <c r="H184" s="12" t="s">
        <v>293</v>
      </c>
      <c r="I184" s="12" t="s">
        <v>294</v>
      </c>
      <c r="J184" s="12" t="s">
        <v>296</v>
      </c>
      <c r="K184" s="12" t="s">
        <v>296</v>
      </c>
      <c r="L184" s="12" t="s">
        <v>230</v>
      </c>
      <c r="M184" s="12"/>
      <c r="N184" s="12" t="s">
        <v>344</v>
      </c>
      <c r="O184" s="12" t="s">
        <v>5</v>
      </c>
    </row>
    <row r="185" spans="1:15">
      <c r="A185" s="11" t="s">
        <v>262</v>
      </c>
      <c r="B185" s="11"/>
      <c r="C185" s="11">
        <v>0</v>
      </c>
      <c r="D185" s="11">
        <v>14</v>
      </c>
      <c r="E185" s="11">
        <v>7.32</v>
      </c>
      <c r="F185" s="11">
        <v>63.65</v>
      </c>
      <c r="G185" s="11">
        <v>67.34999999999999</v>
      </c>
      <c r="H185" s="11" t="s">
        <v>293</v>
      </c>
      <c r="I185" s="11" t="s">
        <v>294</v>
      </c>
      <c r="J185" s="11" t="s">
        <v>296</v>
      </c>
      <c r="K185" s="11" t="s">
        <v>296</v>
      </c>
      <c r="L185" s="11" t="s">
        <v>230</v>
      </c>
      <c r="M185" s="11"/>
      <c r="N185" s="11" t="s">
        <v>344</v>
      </c>
      <c r="O185" s="11" t="s">
        <v>5</v>
      </c>
    </row>
    <row r="186" spans="1:15">
      <c r="A186" s="12" t="s">
        <v>263</v>
      </c>
      <c r="B186" s="12"/>
      <c r="C186" s="12">
        <v>1</v>
      </c>
      <c r="D186" s="12">
        <v>0</v>
      </c>
      <c r="E186" s="12">
        <v>2.67</v>
      </c>
      <c r="F186" s="12">
        <v>16.47</v>
      </c>
      <c r="G186" s="12">
        <v>5.02</v>
      </c>
      <c r="H186" s="12" t="s">
        <v>293</v>
      </c>
      <c r="I186" s="12" t="s">
        <v>294</v>
      </c>
      <c r="J186" s="12" t="s">
        <v>298</v>
      </c>
      <c r="K186" s="12" t="s">
        <v>310</v>
      </c>
      <c r="L186" s="12" t="s">
        <v>230</v>
      </c>
      <c r="M186" s="12"/>
      <c r="N186" s="12" t="s">
        <v>344</v>
      </c>
      <c r="O186" s="12" t="s">
        <v>5</v>
      </c>
    </row>
    <row r="187" spans="1:15">
      <c r="A187" s="11" t="s">
        <v>264</v>
      </c>
      <c r="B187" s="11"/>
      <c r="C187" s="11">
        <v>1</v>
      </c>
      <c r="D187" s="11">
        <v>0</v>
      </c>
      <c r="E187" s="11">
        <v>0.51</v>
      </c>
      <c r="F187" s="11">
        <v>3.32</v>
      </c>
      <c r="G187" s="11">
        <v>0.76</v>
      </c>
      <c r="H187" s="11"/>
      <c r="I187" s="11"/>
      <c r="J187" s="11"/>
      <c r="K187" s="11"/>
      <c r="L187" s="11"/>
      <c r="M187" s="11"/>
      <c r="N187" s="11" t="s">
        <v>344</v>
      </c>
      <c r="O187" s="11" t="s">
        <v>7</v>
      </c>
    </row>
    <row r="188" spans="1:15">
      <c r="A188" s="12" t="s">
        <v>265</v>
      </c>
      <c r="B188" s="12"/>
      <c r="C188" s="12">
        <v>2</v>
      </c>
      <c r="D188" s="12">
        <v>1</v>
      </c>
      <c r="E188" s="12">
        <v>41.76</v>
      </c>
      <c r="F188" s="12">
        <v>69.13</v>
      </c>
      <c r="G188" s="12">
        <v>89.40000000000001</v>
      </c>
      <c r="H188" s="12" t="s">
        <v>293</v>
      </c>
      <c r="I188" s="12" t="s">
        <v>294</v>
      </c>
      <c r="J188" s="12" t="s">
        <v>298</v>
      </c>
      <c r="K188" s="12" t="s">
        <v>310</v>
      </c>
      <c r="L188" s="12" t="s">
        <v>340</v>
      </c>
      <c r="M188" s="12" t="s">
        <v>343</v>
      </c>
      <c r="N188" s="12" t="s">
        <v>344</v>
      </c>
      <c r="O188" s="12" t="s">
        <v>6</v>
      </c>
    </row>
    <row r="189" spans="1:15">
      <c r="A189" s="11" t="s">
        <v>266</v>
      </c>
      <c r="B189" s="11"/>
      <c r="C189" s="11">
        <v>88</v>
      </c>
      <c r="D189" s="11">
        <v>4</v>
      </c>
      <c r="E189" s="11">
        <v>32.74</v>
      </c>
      <c r="F189" s="11">
        <v>95.69</v>
      </c>
      <c r="G189" s="11">
        <v>88.88</v>
      </c>
      <c r="H189" s="11" t="s">
        <v>293</v>
      </c>
      <c r="I189" s="11"/>
      <c r="J189" s="11"/>
      <c r="K189" s="11"/>
      <c r="L189" s="11" t="s">
        <v>230</v>
      </c>
      <c r="M189" s="11"/>
      <c r="N189" s="11" t="s">
        <v>344</v>
      </c>
      <c r="O189" s="11" t="s">
        <v>5</v>
      </c>
    </row>
    <row r="190" spans="1:15">
      <c r="A190" s="12" t="s">
        <v>267</v>
      </c>
      <c r="B190" s="12"/>
      <c r="C190" s="12">
        <v>2</v>
      </c>
      <c r="D190" s="12">
        <v>0</v>
      </c>
      <c r="E190" s="12">
        <v>6.62</v>
      </c>
      <c r="F190" s="12">
        <v>67.84999999999999</v>
      </c>
      <c r="G190" s="12">
        <v>57.35</v>
      </c>
      <c r="H190" s="12" t="s">
        <v>293</v>
      </c>
      <c r="I190" s="12" t="s">
        <v>294</v>
      </c>
      <c r="J190" s="12" t="s">
        <v>296</v>
      </c>
      <c r="K190" s="12" t="s">
        <v>296</v>
      </c>
      <c r="L190" s="12" t="s">
        <v>230</v>
      </c>
      <c r="M190" s="12"/>
      <c r="N190" s="12" t="s">
        <v>344</v>
      </c>
      <c r="O190" s="12" t="s">
        <v>5</v>
      </c>
    </row>
    <row r="191" spans="1:15">
      <c r="A191" s="11" t="s">
        <v>268</v>
      </c>
      <c r="B191" s="11"/>
      <c r="C191" s="11">
        <v>2</v>
      </c>
      <c r="D191" s="11">
        <v>0</v>
      </c>
      <c r="E191" s="11">
        <v>11.59</v>
      </c>
      <c r="F191" s="11">
        <v>94.89</v>
      </c>
      <c r="G191" s="11">
        <v>57.5</v>
      </c>
      <c r="H191" s="11" t="s">
        <v>293</v>
      </c>
      <c r="I191" s="11" t="s">
        <v>294</v>
      </c>
      <c r="J191" s="11" t="s">
        <v>296</v>
      </c>
      <c r="K191" s="11" t="s">
        <v>296</v>
      </c>
      <c r="L191" s="11" t="s">
        <v>230</v>
      </c>
      <c r="M191" s="11"/>
      <c r="N191" s="11" t="s">
        <v>344</v>
      </c>
      <c r="O191" s="11" t="s">
        <v>5</v>
      </c>
    </row>
    <row r="192" spans="1:15">
      <c r="A192" s="12" t="s">
        <v>269</v>
      </c>
      <c r="B192" s="12"/>
      <c r="C192" s="12">
        <v>36</v>
      </c>
      <c r="D192" s="12">
        <v>24</v>
      </c>
      <c r="E192" s="12">
        <v>43.15</v>
      </c>
      <c r="F192" s="12">
        <v>78.61</v>
      </c>
      <c r="G192" s="12">
        <v>69.51000000000001</v>
      </c>
      <c r="H192" s="12" t="s">
        <v>293</v>
      </c>
      <c r="I192" s="12" t="s">
        <v>294</v>
      </c>
      <c r="J192" s="12" t="s">
        <v>307</v>
      </c>
      <c r="K192" s="12" t="s">
        <v>282</v>
      </c>
      <c r="L192" s="12" t="s">
        <v>230</v>
      </c>
      <c r="M192" s="12"/>
      <c r="N192" s="12" t="s">
        <v>344</v>
      </c>
      <c r="O192" s="12" t="s">
        <v>5</v>
      </c>
    </row>
    <row r="193" spans="1:15">
      <c r="A193" s="11" t="s">
        <v>270</v>
      </c>
      <c r="B193" s="11"/>
      <c r="C193" s="11">
        <v>15</v>
      </c>
      <c r="D193" s="11">
        <v>0</v>
      </c>
      <c r="E193" s="11">
        <v>22.58</v>
      </c>
      <c r="F193" s="11">
        <v>71.23</v>
      </c>
      <c r="G193" s="11">
        <v>54.07</v>
      </c>
      <c r="H193" s="11" t="s">
        <v>293</v>
      </c>
      <c r="I193" s="11"/>
      <c r="J193" s="11"/>
      <c r="K193" s="11"/>
      <c r="L193" s="11" t="s">
        <v>230</v>
      </c>
      <c r="M193" s="11"/>
      <c r="N193" s="11" t="s">
        <v>344</v>
      </c>
      <c r="O193" s="11" t="s">
        <v>5</v>
      </c>
    </row>
    <row r="194" spans="1:15">
      <c r="A194" s="12" t="s">
        <v>271</v>
      </c>
      <c r="B194" s="12"/>
      <c r="C194" s="12">
        <v>2</v>
      </c>
      <c r="D194" s="12">
        <v>0</v>
      </c>
      <c r="E194" s="12">
        <v>27.97</v>
      </c>
      <c r="F194" s="12">
        <v>80.53</v>
      </c>
      <c r="G194" s="12">
        <v>76.94</v>
      </c>
      <c r="H194" s="12" t="s">
        <v>293</v>
      </c>
      <c r="I194" s="12"/>
      <c r="J194" s="12"/>
      <c r="K194" s="12"/>
      <c r="L194" s="12" t="s">
        <v>230</v>
      </c>
      <c r="M194" s="12"/>
      <c r="N194" s="12" t="s">
        <v>344</v>
      </c>
      <c r="O194" s="12" t="s">
        <v>5</v>
      </c>
    </row>
    <row r="195" spans="1:15">
      <c r="A195" s="11" t="s">
        <v>272</v>
      </c>
      <c r="B195" s="11"/>
      <c r="C195" s="11">
        <v>33</v>
      </c>
      <c r="D195" s="11">
        <v>0</v>
      </c>
      <c r="E195" s="11">
        <v>22.84</v>
      </c>
      <c r="F195" s="11">
        <v>97.11</v>
      </c>
      <c r="G195" s="11">
        <v>71.87</v>
      </c>
      <c r="H195" s="11" t="s">
        <v>293</v>
      </c>
      <c r="I195" s="11" t="s">
        <v>294</v>
      </c>
      <c r="J195" s="11" t="s">
        <v>296</v>
      </c>
      <c r="K195" s="11" t="s">
        <v>296</v>
      </c>
      <c r="L195" s="11" t="s">
        <v>230</v>
      </c>
      <c r="M195" s="11"/>
      <c r="N195" s="11" t="s">
        <v>344</v>
      </c>
      <c r="O195" s="11" t="s">
        <v>5</v>
      </c>
    </row>
    <row r="196" spans="1:15">
      <c r="A196" s="12" t="s">
        <v>273</v>
      </c>
      <c r="B196" s="12"/>
      <c r="C196" s="12">
        <v>21</v>
      </c>
      <c r="D196" s="12">
        <v>0</v>
      </c>
      <c r="E196" s="12">
        <v>38.12</v>
      </c>
      <c r="F196" s="12">
        <v>93.93000000000001</v>
      </c>
      <c r="G196" s="12">
        <v>79</v>
      </c>
      <c r="H196" s="12" t="s">
        <v>293</v>
      </c>
      <c r="I196" s="12" t="s">
        <v>294</v>
      </c>
      <c r="J196" s="12" t="s">
        <v>296</v>
      </c>
      <c r="K196" s="12" t="s">
        <v>296</v>
      </c>
      <c r="L196" s="12" t="s">
        <v>230</v>
      </c>
      <c r="M196" s="12"/>
      <c r="N196" s="12" t="s">
        <v>344</v>
      </c>
      <c r="O196" s="12" t="s">
        <v>5</v>
      </c>
    </row>
    <row r="197" spans="1:15">
      <c r="A197" s="11" t="s">
        <v>274</v>
      </c>
      <c r="B197" s="11"/>
      <c r="C197" s="11">
        <v>5</v>
      </c>
      <c r="D197" s="11">
        <v>5</v>
      </c>
      <c r="E197" s="11">
        <v>5.74</v>
      </c>
      <c r="F197" s="11">
        <v>43.22</v>
      </c>
      <c r="G197" s="11">
        <v>53.67</v>
      </c>
      <c r="H197" s="11" t="s">
        <v>293</v>
      </c>
      <c r="I197" s="11" t="s">
        <v>294</v>
      </c>
      <c r="J197" s="11" t="s">
        <v>299</v>
      </c>
      <c r="K197" s="11" t="s">
        <v>337</v>
      </c>
      <c r="L197" s="11" t="s">
        <v>230</v>
      </c>
      <c r="M197" s="11"/>
      <c r="N197" s="11" t="s">
        <v>344</v>
      </c>
      <c r="O197" s="11" t="s">
        <v>5</v>
      </c>
    </row>
    <row r="198" spans="1:15">
      <c r="A198" s="12" t="s">
        <v>275</v>
      </c>
      <c r="B198" s="12"/>
      <c r="C198" s="12">
        <v>1</v>
      </c>
      <c r="D198" s="12">
        <v>0</v>
      </c>
      <c r="E198" s="12">
        <v>4.54</v>
      </c>
      <c r="F198" s="12">
        <v>29.16</v>
      </c>
      <c r="G198" s="12">
        <v>3.53</v>
      </c>
      <c r="H198" s="12" t="s">
        <v>293</v>
      </c>
      <c r="I198" s="12" t="s">
        <v>294</v>
      </c>
      <c r="J198" s="12" t="s">
        <v>298</v>
      </c>
      <c r="K198" s="12" t="s">
        <v>310</v>
      </c>
      <c r="L198" s="12" t="s">
        <v>340</v>
      </c>
      <c r="M198" s="12" t="s">
        <v>343</v>
      </c>
      <c r="N198" s="12" t="s">
        <v>344</v>
      </c>
      <c r="O198" s="12" t="s">
        <v>6</v>
      </c>
    </row>
    <row r="199" spans="1:15">
      <c r="A199" s="11" t="s">
        <v>276</v>
      </c>
      <c r="B199" s="11"/>
      <c r="C199" s="11">
        <v>1</v>
      </c>
      <c r="D199" s="11">
        <v>0</v>
      </c>
      <c r="E199" s="11">
        <v>0.9399999999999999</v>
      </c>
      <c r="F199" s="11">
        <v>5.48</v>
      </c>
      <c r="G199" s="11">
        <v>8.33</v>
      </c>
      <c r="H199" s="11" t="s">
        <v>293</v>
      </c>
      <c r="I199" s="11" t="s">
        <v>294</v>
      </c>
      <c r="J199" s="11" t="s">
        <v>298</v>
      </c>
      <c r="K199" s="11" t="s">
        <v>310</v>
      </c>
      <c r="L199" s="11" t="s">
        <v>340</v>
      </c>
      <c r="M199" s="11" t="s">
        <v>343</v>
      </c>
      <c r="N199" s="11" t="s">
        <v>344</v>
      </c>
      <c r="O199" s="11" t="s">
        <v>6</v>
      </c>
    </row>
    <row r="200" spans="1:15">
      <c r="A200" s="12" t="s">
        <v>277</v>
      </c>
      <c r="B200" s="12"/>
      <c r="C200" s="12">
        <v>1</v>
      </c>
      <c r="D200" s="12">
        <v>1</v>
      </c>
      <c r="E200" s="12">
        <v>3.19</v>
      </c>
      <c r="F200" s="12">
        <v>42.35</v>
      </c>
      <c r="G200" s="12">
        <v>59</v>
      </c>
      <c r="H200" s="12" t="s">
        <v>293</v>
      </c>
      <c r="I200" s="12" t="s">
        <v>294</v>
      </c>
      <c r="J200" s="12" t="s">
        <v>305</v>
      </c>
      <c r="K200" s="12" t="s">
        <v>334</v>
      </c>
      <c r="L200" s="12" t="s">
        <v>230</v>
      </c>
      <c r="M200" s="12"/>
      <c r="N200" s="12" t="s">
        <v>344</v>
      </c>
      <c r="O200" s="12" t="s">
        <v>5</v>
      </c>
    </row>
    <row r="201" spans="1:15">
      <c r="A201" s="11" t="s">
        <v>278</v>
      </c>
      <c r="B201" s="11"/>
      <c r="C201" s="11">
        <v>1</v>
      </c>
      <c r="D201" s="11">
        <v>0</v>
      </c>
      <c r="E201" s="11">
        <v>3.52</v>
      </c>
      <c r="F201" s="11">
        <v>13.12</v>
      </c>
      <c r="G201" s="11">
        <v>5</v>
      </c>
      <c r="H201" s="11" t="s">
        <v>293</v>
      </c>
      <c r="I201" s="11"/>
      <c r="J201" s="11"/>
      <c r="K201" s="11"/>
      <c r="L201" s="11" t="s">
        <v>340</v>
      </c>
      <c r="M201" s="11" t="s">
        <v>343</v>
      </c>
      <c r="N201" s="11" t="s">
        <v>344</v>
      </c>
      <c r="O201" s="11" t="s">
        <v>6</v>
      </c>
    </row>
    <row r="202" spans="1:15">
      <c r="A202" s="12" t="s">
        <v>279</v>
      </c>
      <c r="B202" s="12"/>
      <c r="C202" s="12">
        <v>17</v>
      </c>
      <c r="D202" s="12">
        <v>17</v>
      </c>
      <c r="E202" s="12">
        <v>14.28</v>
      </c>
      <c r="F202" s="12">
        <v>39.16</v>
      </c>
      <c r="G202" s="12">
        <v>67</v>
      </c>
      <c r="H202" s="12" t="s">
        <v>293</v>
      </c>
      <c r="I202" s="12" t="s">
        <v>294</v>
      </c>
      <c r="J202" s="12" t="s">
        <v>296</v>
      </c>
      <c r="K202" s="12" t="s">
        <v>296</v>
      </c>
      <c r="L202" s="12" t="s">
        <v>340</v>
      </c>
      <c r="M202" s="12" t="s">
        <v>343</v>
      </c>
      <c r="N202" s="12" t="s">
        <v>344</v>
      </c>
      <c r="O202" s="12" t="s">
        <v>6</v>
      </c>
    </row>
    <row r="203" spans="1:15">
      <c r="A203" s="11" t="s">
        <v>280</v>
      </c>
      <c r="B203" s="11"/>
      <c r="C203" s="11">
        <v>3</v>
      </c>
      <c r="D203" s="11">
        <v>3</v>
      </c>
      <c r="E203" s="11">
        <v>7.67</v>
      </c>
      <c r="F203" s="11">
        <v>72.45999999999999</v>
      </c>
      <c r="G203" s="11">
        <v>59.4</v>
      </c>
      <c r="H203" s="11" t="s">
        <v>293</v>
      </c>
      <c r="I203" s="11"/>
      <c r="J203" s="11"/>
      <c r="K203" s="11"/>
      <c r="L203" s="11" t="s">
        <v>340</v>
      </c>
      <c r="M203" s="11" t="s">
        <v>343</v>
      </c>
      <c r="N203" s="11" t="s">
        <v>344</v>
      </c>
      <c r="O203" s="11" t="s">
        <v>6</v>
      </c>
    </row>
    <row r="204" spans="1:15">
      <c r="A204" s="12" t="s">
        <v>281</v>
      </c>
      <c r="B204" s="12"/>
      <c r="C204" s="12">
        <v>1</v>
      </c>
      <c r="D204" s="12">
        <v>0</v>
      </c>
      <c r="E204" s="12">
        <v>0</v>
      </c>
      <c r="F204" s="12">
        <v>0</v>
      </c>
      <c r="G204" s="12">
        <v>0</v>
      </c>
      <c r="H204" s="12" t="s">
        <v>293</v>
      </c>
      <c r="I204" s="12" t="s">
        <v>294</v>
      </c>
      <c r="J204" s="12" t="s">
        <v>296</v>
      </c>
      <c r="K204" s="12" t="s">
        <v>296</v>
      </c>
      <c r="L204" s="12"/>
      <c r="M204" s="12"/>
      <c r="N204" s="12" t="s">
        <v>344</v>
      </c>
      <c r="O204" s="12" t="s">
        <v>7</v>
      </c>
    </row>
    <row r="205" spans="1:15">
      <c r="A205" s="11" t="s">
        <v>282</v>
      </c>
      <c r="B205" s="11"/>
      <c r="C205" s="11">
        <v>0</v>
      </c>
      <c r="D205" s="11">
        <v>1</v>
      </c>
      <c r="E205" s="11">
        <v>5.92</v>
      </c>
      <c r="F205" s="11">
        <v>72.09999999999999</v>
      </c>
      <c r="G205" s="11">
        <v>32</v>
      </c>
      <c r="H205" s="11" t="s">
        <v>293</v>
      </c>
      <c r="I205" s="11"/>
      <c r="J205" s="11"/>
      <c r="K205" s="11"/>
      <c r="L205" s="11" t="s">
        <v>230</v>
      </c>
      <c r="M205" s="11"/>
      <c r="N205" s="11" t="s">
        <v>344</v>
      </c>
      <c r="O205" s="11" t="s">
        <v>5</v>
      </c>
    </row>
    <row r="206" spans="1:15">
      <c r="A206" s="12" t="s">
        <v>283</v>
      </c>
      <c r="B206" s="12"/>
      <c r="C206" s="12">
        <v>0</v>
      </c>
      <c r="D206" s="12">
        <v>15</v>
      </c>
      <c r="E206" s="12">
        <v>9.44</v>
      </c>
      <c r="F206" s="12">
        <v>80.45</v>
      </c>
      <c r="G206" s="12">
        <v>64.7</v>
      </c>
      <c r="H206" s="12" t="s">
        <v>293</v>
      </c>
      <c r="I206" s="12" t="s">
        <v>294</v>
      </c>
      <c r="J206" s="12" t="s">
        <v>307</v>
      </c>
      <c r="K206" s="12" t="s">
        <v>282</v>
      </c>
      <c r="L206" s="12" t="s">
        <v>230</v>
      </c>
      <c r="M206" s="12"/>
      <c r="N206" s="12" t="s">
        <v>344</v>
      </c>
      <c r="O206" s="12" t="s">
        <v>5</v>
      </c>
    </row>
    <row r="207" spans="1:15">
      <c r="A207" s="11" t="s">
        <v>284</v>
      </c>
      <c r="B207" s="11"/>
      <c r="C207" s="11">
        <v>2</v>
      </c>
      <c r="D207" s="11">
        <v>29</v>
      </c>
      <c r="E207" s="11">
        <v>7.31</v>
      </c>
      <c r="F207" s="11">
        <v>89.33</v>
      </c>
      <c r="G207" s="11">
        <v>100</v>
      </c>
      <c r="H207" s="11" t="s">
        <v>293</v>
      </c>
      <c r="I207" s="11"/>
      <c r="J207" s="11"/>
      <c r="K207" s="11"/>
      <c r="L207" s="11" t="s">
        <v>230</v>
      </c>
      <c r="M207" s="11"/>
      <c r="N207" s="11" t="s">
        <v>344</v>
      </c>
      <c r="O207" s="11" t="s">
        <v>5</v>
      </c>
    </row>
    <row r="208" spans="1:15">
      <c r="A208" s="12" t="s">
        <v>285</v>
      </c>
      <c r="B208" s="12"/>
      <c r="C208" s="12">
        <v>2</v>
      </c>
      <c r="D208" s="12">
        <v>0</v>
      </c>
      <c r="E208" s="12">
        <v>5.3</v>
      </c>
      <c r="F208" s="12">
        <v>57.76</v>
      </c>
      <c r="G208" s="12">
        <v>41.85</v>
      </c>
      <c r="H208" s="12" t="s">
        <v>293</v>
      </c>
      <c r="I208" s="12"/>
      <c r="J208" s="12"/>
      <c r="K208" s="12"/>
      <c r="L208" s="12" t="s">
        <v>230</v>
      </c>
      <c r="M208" s="12"/>
      <c r="N208" s="12" t="s">
        <v>344</v>
      </c>
      <c r="O208" s="12" t="s">
        <v>5</v>
      </c>
    </row>
    <row r="209" spans="1:15">
      <c r="A209" s="11" t="s">
        <v>286</v>
      </c>
      <c r="B209" s="11"/>
      <c r="C209" s="11">
        <v>0</v>
      </c>
      <c r="D209" s="11">
        <v>3</v>
      </c>
      <c r="E209" s="11">
        <v>5.94</v>
      </c>
      <c r="F209" s="11">
        <v>52.58</v>
      </c>
      <c r="G209" s="11">
        <v>60</v>
      </c>
      <c r="H209" s="11" t="s">
        <v>293</v>
      </c>
      <c r="I209" s="11"/>
      <c r="J209" s="11"/>
      <c r="K209" s="11"/>
      <c r="L209" s="11" t="s">
        <v>230</v>
      </c>
      <c r="M209" s="11"/>
      <c r="N209" s="11" t="s">
        <v>344</v>
      </c>
      <c r="O209" s="11" t="s">
        <v>5</v>
      </c>
    </row>
    <row r="210" spans="1:15">
      <c r="A210" s="12" t="s">
        <v>287</v>
      </c>
      <c r="B210" s="12"/>
      <c r="C210" s="12">
        <v>1</v>
      </c>
      <c r="D210" s="12">
        <v>0</v>
      </c>
      <c r="E210" s="12">
        <v>4.94</v>
      </c>
      <c r="F210" s="12">
        <v>27.99</v>
      </c>
      <c r="G210" s="12">
        <v>14.82</v>
      </c>
      <c r="H210" s="12"/>
      <c r="I210" s="12"/>
      <c r="J210" s="12"/>
      <c r="K210" s="12"/>
      <c r="L210" s="12"/>
      <c r="M210" s="12"/>
      <c r="N210" s="12" t="s">
        <v>344</v>
      </c>
      <c r="O210" s="12" t="s">
        <v>7</v>
      </c>
    </row>
    <row r="211" spans="1:15">
      <c r="A211" s="11" t="s">
        <v>288</v>
      </c>
      <c r="B211" s="11"/>
      <c r="C211" s="11">
        <v>1</v>
      </c>
      <c r="D211" s="11">
        <v>0</v>
      </c>
      <c r="E211" s="11">
        <v>3.76</v>
      </c>
      <c r="F211" s="11">
        <v>28.59</v>
      </c>
      <c r="G211" s="11">
        <v>8.710000000000001</v>
      </c>
      <c r="H211" s="11"/>
      <c r="I211" s="11"/>
      <c r="J211" s="11"/>
      <c r="K211" s="11"/>
      <c r="L211" s="11"/>
      <c r="M211" s="11"/>
      <c r="N211" s="11" t="s">
        <v>344</v>
      </c>
      <c r="O211" s="11" t="s">
        <v>7</v>
      </c>
    </row>
    <row r="212" spans="1:15">
      <c r="A212" s="12" t="s">
        <v>289</v>
      </c>
      <c r="B212" s="12"/>
      <c r="C212" s="12">
        <v>5</v>
      </c>
      <c r="D212" s="12">
        <v>2</v>
      </c>
      <c r="E212" s="12">
        <v>5.38</v>
      </c>
      <c r="F212" s="12">
        <v>30.87</v>
      </c>
      <c r="G212" s="12">
        <v>53.88</v>
      </c>
      <c r="H212" s="12" t="s">
        <v>293</v>
      </c>
      <c r="I212" s="12"/>
      <c r="J212" s="12"/>
      <c r="K212" s="12"/>
      <c r="L212" s="12" t="s">
        <v>340</v>
      </c>
      <c r="M212" s="12" t="s">
        <v>342</v>
      </c>
      <c r="N212" s="12" t="s">
        <v>344</v>
      </c>
      <c r="O212" s="12" t="s">
        <v>6</v>
      </c>
    </row>
    <row r="213" spans="1:15">
      <c r="A213" s="11" t="s">
        <v>290</v>
      </c>
      <c r="B213" s="11"/>
      <c r="C213" s="11">
        <v>3</v>
      </c>
      <c r="D213" s="11">
        <v>5</v>
      </c>
      <c r="E213" s="11">
        <v>36.56</v>
      </c>
      <c r="F213" s="11">
        <v>91.27</v>
      </c>
      <c r="G213" s="11">
        <v>81.61</v>
      </c>
      <c r="H213" s="11" t="s">
        <v>293</v>
      </c>
      <c r="I213" s="11"/>
      <c r="J213" s="11"/>
      <c r="K213" s="11"/>
      <c r="L213" s="11" t="s">
        <v>230</v>
      </c>
      <c r="M213" s="11"/>
      <c r="N213" s="11" t="s">
        <v>344</v>
      </c>
      <c r="O213" s="11" t="s">
        <v>5</v>
      </c>
    </row>
    <row r="214" spans="1:15">
      <c r="A214" s="12" t="s">
        <v>291</v>
      </c>
      <c r="B214" s="12"/>
      <c r="C214" s="12">
        <v>6</v>
      </c>
      <c r="D214" s="12">
        <v>5</v>
      </c>
      <c r="E214" s="12">
        <v>11.08</v>
      </c>
      <c r="F214" s="12">
        <v>90.78</v>
      </c>
      <c r="G214" s="12">
        <v>84.36</v>
      </c>
      <c r="H214" s="12" t="s">
        <v>293</v>
      </c>
      <c r="I214" s="12" t="s">
        <v>294</v>
      </c>
      <c r="J214" s="12" t="s">
        <v>306</v>
      </c>
      <c r="K214" s="12" t="s">
        <v>338</v>
      </c>
      <c r="L214" s="12" t="s">
        <v>230</v>
      </c>
      <c r="M214" s="12"/>
      <c r="N214" s="12" t="s">
        <v>344</v>
      </c>
      <c r="O214" s="12" t="s">
        <v>5</v>
      </c>
    </row>
  </sheetData>
  <mergeCells count="1">
    <mergeCell ref="A1:O1"/>
  </mergeCells>
  <conditionalFormatting sqref="E3:E214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F3:F214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conditionalFormatting sqref="G3:G214">
    <cfRule type="cellIs" dxfId="0" priority="7" operator="between">
      <formula>0</formula>
      <formula>75</formula>
    </cfRule>
    <cfRule type="cellIs" dxfId="1" priority="8" operator="between">
      <formula>75</formula>
      <formula>89</formula>
    </cfRule>
    <cfRule type="cellIs" dxfId="2" priority="9" operator="between">
      <formula>90</formula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3" width="15.7109375" customWidth="1"/>
    <col min="4" max="4" width="7.7109375" customWidth="1"/>
    <col min="5" max="5" width="11.7109375" customWidth="1"/>
    <col min="6" max="6" width="12.7109375" customWidth="1"/>
    <col min="7" max="7" width="27.7109375" customWidth="1"/>
    <col min="8" max="8" width="18.7109375" customWidth="1"/>
    <col min="9" max="9" width="20.7109375" customWidth="1"/>
    <col min="10" max="10" width="18.7109375" customWidth="1"/>
    <col min="11" max="12" width="20.7109375" customWidth="1"/>
    <col min="13" max="13" width="12.7109375" customWidth="1"/>
    <col min="14" max="14" width="19.7109375" customWidth="1"/>
    <col min="15" max="15" width="10.7109375" customWidth="1"/>
  </cols>
  <sheetData>
    <row r="1" spans="1:15">
      <c r="A1" s="14" t="s">
        <v>442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>
      <c r="A2" s="4" t="s">
        <v>346</v>
      </c>
      <c r="B2" s="4" t="s">
        <v>347</v>
      </c>
      <c r="C2" s="4" t="s">
        <v>347</v>
      </c>
      <c r="D2" s="4" t="s">
        <v>348</v>
      </c>
      <c r="E2" s="4" t="s">
        <v>349</v>
      </c>
      <c r="F2" s="4" t="s">
        <v>350</v>
      </c>
      <c r="G2" s="4" t="s">
        <v>351</v>
      </c>
      <c r="H2" s="4" t="s">
        <v>352</v>
      </c>
      <c r="I2" s="4" t="s">
        <v>353</v>
      </c>
      <c r="J2" s="4" t="s">
        <v>354</v>
      </c>
      <c r="K2" s="4" t="s">
        <v>355</v>
      </c>
      <c r="L2" s="4" t="s">
        <v>356</v>
      </c>
      <c r="M2" s="4" t="s">
        <v>78</v>
      </c>
      <c r="N2" s="4" t="s">
        <v>79</v>
      </c>
      <c r="O2" s="4" t="s">
        <v>76</v>
      </c>
    </row>
    <row r="3" spans="1:15">
      <c r="A3" s="11" t="s">
        <v>357</v>
      </c>
      <c r="B3" s="11" t="s">
        <v>425</v>
      </c>
      <c r="C3" s="11" t="s">
        <v>426</v>
      </c>
      <c r="D3" s="11">
        <v>2</v>
      </c>
      <c r="E3" s="11">
        <v>4</v>
      </c>
      <c r="F3" s="11" t="s">
        <v>440</v>
      </c>
      <c r="G3" s="11">
        <v>1000</v>
      </c>
      <c r="H3" s="11">
        <v>0.307</v>
      </c>
      <c r="I3" s="11">
        <v>0.2873999999999999</v>
      </c>
      <c r="J3" s="11">
        <v>4.585</v>
      </c>
      <c r="K3" s="11">
        <v>4.5801</v>
      </c>
      <c r="L3" s="11">
        <v>1.985101694915255</v>
      </c>
      <c r="M3" s="11" t="s">
        <v>344</v>
      </c>
      <c r="N3" s="11" t="s">
        <v>7</v>
      </c>
      <c r="O3" s="11"/>
    </row>
    <row r="4" spans="1:15">
      <c r="A4" s="12" t="s">
        <v>358</v>
      </c>
      <c r="B4" s="12" t="s">
        <v>425</v>
      </c>
      <c r="C4" s="12" t="s">
        <v>427</v>
      </c>
      <c r="D4" s="12">
        <v>2</v>
      </c>
      <c r="E4" s="12">
        <v>16</v>
      </c>
      <c r="F4" s="12" t="s">
        <v>440</v>
      </c>
      <c r="G4" s="12">
        <v>4000</v>
      </c>
      <c r="H4" s="12">
        <v>0.316</v>
      </c>
      <c r="I4" s="12">
        <v>0.275</v>
      </c>
      <c r="J4" s="12">
        <v>5.561</v>
      </c>
      <c r="K4" s="12">
        <v>5.561</v>
      </c>
      <c r="L4" s="12">
        <v>3.566542372881356</v>
      </c>
      <c r="M4" s="12" t="s">
        <v>344</v>
      </c>
      <c r="N4" s="12" t="s">
        <v>7</v>
      </c>
      <c r="O4" s="12"/>
    </row>
    <row r="5" spans="1:15">
      <c r="A5" s="11" t="s">
        <v>359</v>
      </c>
      <c r="B5" s="11" t="s">
        <v>425</v>
      </c>
      <c r="C5" s="11" t="s">
        <v>428</v>
      </c>
      <c r="D5" s="11">
        <v>16</v>
      </c>
      <c r="E5" s="11">
        <v>64</v>
      </c>
      <c r="F5" s="11" t="s">
        <v>440</v>
      </c>
      <c r="G5" s="11">
        <v>16000</v>
      </c>
      <c r="H5" s="11">
        <v>0.546</v>
      </c>
      <c r="I5" s="11">
        <v>0.5272</v>
      </c>
      <c r="J5" s="11">
        <v>72.749</v>
      </c>
      <c r="K5" s="11">
        <v>72.749</v>
      </c>
      <c r="L5" s="11">
        <v>19.26288135593221</v>
      </c>
      <c r="M5" s="11" t="s">
        <v>344</v>
      </c>
      <c r="N5" s="11" t="s">
        <v>7</v>
      </c>
      <c r="O5" s="11"/>
    </row>
    <row r="6" spans="1:15">
      <c r="A6" s="12" t="s">
        <v>360</v>
      </c>
      <c r="B6" s="12" t="s">
        <v>425</v>
      </c>
      <c r="C6" s="12" t="s">
        <v>429</v>
      </c>
      <c r="D6" s="12">
        <v>8</v>
      </c>
      <c r="E6" s="12">
        <v>16</v>
      </c>
      <c r="F6" s="12" t="s">
        <v>440</v>
      </c>
      <c r="G6" s="12">
        <v>4000</v>
      </c>
      <c r="H6" s="12">
        <v>0.054</v>
      </c>
      <c r="I6" s="12">
        <v>0.052</v>
      </c>
      <c r="J6" s="12">
        <v>8.045</v>
      </c>
      <c r="K6" s="12">
        <v>8.0441</v>
      </c>
      <c r="L6" s="12">
        <v>49.98950847457627</v>
      </c>
      <c r="M6" s="12" t="s">
        <v>344</v>
      </c>
      <c r="N6" s="12" t="s">
        <v>7</v>
      </c>
      <c r="O6" s="12"/>
    </row>
    <row r="7" spans="1:15">
      <c r="A7" s="11" t="s">
        <v>361</v>
      </c>
      <c r="B7" s="11" t="s">
        <v>425</v>
      </c>
      <c r="C7" s="11" t="s">
        <v>426</v>
      </c>
      <c r="D7" s="11">
        <v>2</v>
      </c>
      <c r="E7" s="11">
        <v>4</v>
      </c>
      <c r="F7" s="11" t="s">
        <v>440</v>
      </c>
      <c r="G7" s="11">
        <v>1000</v>
      </c>
      <c r="H7" s="11">
        <v>0.295</v>
      </c>
      <c r="I7" s="11">
        <v>0.2873999999999999</v>
      </c>
      <c r="J7" s="11">
        <v>14.528</v>
      </c>
      <c r="K7" s="11">
        <v>14.5241</v>
      </c>
      <c r="L7" s="11">
        <v>2.556966101694915</v>
      </c>
      <c r="M7" s="11" t="s">
        <v>344</v>
      </c>
      <c r="N7" s="11" t="s">
        <v>7</v>
      </c>
      <c r="O7" s="11"/>
    </row>
    <row r="8" spans="1:15">
      <c r="A8" s="12" t="s">
        <v>362</v>
      </c>
      <c r="B8" s="12" t="s">
        <v>425</v>
      </c>
      <c r="C8" s="12" t="s">
        <v>430</v>
      </c>
      <c r="D8" s="12">
        <v>4</v>
      </c>
      <c r="E8" s="12">
        <v>8</v>
      </c>
      <c r="F8" s="12" t="s">
        <v>440</v>
      </c>
      <c r="G8" s="12">
        <v>2000</v>
      </c>
      <c r="H8" s="12">
        <v>0.229</v>
      </c>
      <c r="I8" s="12">
        <v>0.225</v>
      </c>
      <c r="J8" s="12">
        <v>36.261</v>
      </c>
      <c r="K8" s="12">
        <v>36.2502</v>
      </c>
      <c r="L8" s="12">
        <v>0.8097457627118646</v>
      </c>
      <c r="M8" s="12" t="s">
        <v>344</v>
      </c>
      <c r="N8" s="12" t="s">
        <v>7</v>
      </c>
      <c r="O8" s="12"/>
    </row>
    <row r="9" spans="1:15">
      <c r="A9" s="11" t="s">
        <v>363</v>
      </c>
      <c r="B9" s="11" t="s">
        <v>425</v>
      </c>
      <c r="C9" s="11" t="s">
        <v>431</v>
      </c>
      <c r="D9" s="11">
        <v>2</v>
      </c>
      <c r="E9" s="11">
        <v>8</v>
      </c>
      <c r="F9" s="11" t="s">
        <v>440</v>
      </c>
      <c r="G9" s="11">
        <v>2000</v>
      </c>
      <c r="H9" s="11">
        <v>0.441</v>
      </c>
      <c r="I9" s="11">
        <v>0.4241</v>
      </c>
      <c r="J9" s="11">
        <v>91.35299999999999</v>
      </c>
      <c r="K9" s="11">
        <v>91.3472</v>
      </c>
      <c r="L9" s="11">
        <v>4.11550847457627</v>
      </c>
      <c r="M9" s="11" t="s">
        <v>344</v>
      </c>
      <c r="N9" s="11" t="s">
        <v>7</v>
      </c>
      <c r="O9" s="11"/>
    </row>
    <row r="10" spans="1:15">
      <c r="A10" s="12" t="s">
        <v>364</v>
      </c>
      <c r="B10" s="12" t="s">
        <v>425</v>
      </c>
      <c r="C10" s="12" t="s">
        <v>432</v>
      </c>
      <c r="D10" s="12">
        <v>4</v>
      </c>
      <c r="E10" s="12">
        <v>8</v>
      </c>
      <c r="F10" s="12" t="s">
        <v>440</v>
      </c>
      <c r="G10" s="12">
        <v>2000</v>
      </c>
      <c r="H10" s="12">
        <v>0.283</v>
      </c>
      <c r="I10" s="12">
        <v>0.2803</v>
      </c>
      <c r="J10" s="12">
        <v>6.03</v>
      </c>
      <c r="K10" s="12">
        <v>6.029</v>
      </c>
      <c r="L10" s="12">
        <v>4.368677966101696</v>
      </c>
      <c r="M10" s="12" t="s">
        <v>344</v>
      </c>
      <c r="N10" s="12" t="s">
        <v>7</v>
      </c>
      <c r="O10" s="12"/>
    </row>
    <row r="11" spans="1:15">
      <c r="A11" s="11" t="s">
        <v>365</v>
      </c>
      <c r="B11" s="11" t="s">
        <v>425</v>
      </c>
      <c r="C11" s="11" t="s">
        <v>433</v>
      </c>
      <c r="D11" s="11">
        <v>2</v>
      </c>
      <c r="E11" s="11">
        <v>4</v>
      </c>
      <c r="F11" s="11" t="s">
        <v>440</v>
      </c>
      <c r="G11" s="11">
        <v>1000</v>
      </c>
      <c r="H11" s="11">
        <v>0.927</v>
      </c>
      <c r="I11" s="11">
        <v>0.905</v>
      </c>
      <c r="J11" s="11">
        <v>4.359</v>
      </c>
      <c r="K11" s="11">
        <v>4.359</v>
      </c>
      <c r="L11" s="11">
        <v>3.985389830508475</v>
      </c>
      <c r="M11" s="11" t="s">
        <v>344</v>
      </c>
      <c r="N11" s="11" t="s">
        <v>7</v>
      </c>
      <c r="O11" s="11"/>
    </row>
    <row r="12" spans="1:15">
      <c r="A12" s="12" t="s">
        <v>366</v>
      </c>
      <c r="B12" s="12" t="s">
        <v>425</v>
      </c>
      <c r="C12" s="12" t="s">
        <v>433</v>
      </c>
      <c r="D12" s="12">
        <v>2</v>
      </c>
      <c r="E12" s="12">
        <v>4</v>
      </c>
      <c r="F12" s="12" t="s">
        <v>440</v>
      </c>
      <c r="G12" s="12">
        <v>1000</v>
      </c>
      <c r="H12" s="12">
        <v>2.966</v>
      </c>
      <c r="I12" s="12">
        <v>2.174399999999995</v>
      </c>
      <c r="J12" s="12">
        <v>34.201</v>
      </c>
      <c r="K12" s="12">
        <v>34.1991</v>
      </c>
      <c r="L12" s="12">
        <v>16.2836779661017</v>
      </c>
      <c r="M12" s="12" t="s">
        <v>344</v>
      </c>
      <c r="N12" s="12" t="s">
        <v>7</v>
      </c>
      <c r="O12" s="12"/>
    </row>
    <row r="13" spans="1:15">
      <c r="A13" s="11" t="s">
        <v>367</v>
      </c>
      <c r="B13" s="11" t="s">
        <v>425</v>
      </c>
      <c r="C13" s="11" t="s">
        <v>429</v>
      </c>
      <c r="D13" s="11">
        <v>8</v>
      </c>
      <c r="E13" s="11">
        <v>16</v>
      </c>
      <c r="F13" s="11" t="s">
        <v>440</v>
      </c>
      <c r="G13" s="11">
        <v>4000</v>
      </c>
      <c r="H13" s="11">
        <v>0.174</v>
      </c>
      <c r="I13" s="11">
        <v>0.172</v>
      </c>
      <c r="J13" s="11">
        <v>4.9</v>
      </c>
      <c r="K13" s="11">
        <v>4.8991</v>
      </c>
      <c r="L13" s="11">
        <v>0.205</v>
      </c>
      <c r="M13" s="11" t="s">
        <v>344</v>
      </c>
      <c r="N13" s="11" t="s">
        <v>7</v>
      </c>
      <c r="O13" s="11"/>
    </row>
    <row r="14" spans="1:15">
      <c r="A14" s="12" t="s">
        <v>368</v>
      </c>
      <c r="B14" s="12" t="s">
        <v>425</v>
      </c>
      <c r="C14" s="12" t="s">
        <v>428</v>
      </c>
      <c r="D14" s="12">
        <v>16</v>
      </c>
      <c r="E14" s="12">
        <v>64</v>
      </c>
      <c r="F14" s="12" t="s">
        <v>440</v>
      </c>
      <c r="G14" s="12">
        <v>16000</v>
      </c>
      <c r="H14" s="12">
        <v>0.035</v>
      </c>
      <c r="I14" s="12">
        <v>0.034</v>
      </c>
      <c r="J14" s="12">
        <v>10.849</v>
      </c>
      <c r="K14" s="12">
        <v>10.849</v>
      </c>
      <c r="L14" s="12">
        <v>43.158</v>
      </c>
      <c r="M14" s="12" t="s">
        <v>344</v>
      </c>
      <c r="N14" s="12" t="s">
        <v>7</v>
      </c>
      <c r="O14" s="12"/>
    </row>
    <row r="15" spans="1:15">
      <c r="A15" s="11" t="s">
        <v>369</v>
      </c>
      <c r="B15" s="11" t="s">
        <v>425</v>
      </c>
      <c r="C15" s="11" t="s">
        <v>434</v>
      </c>
      <c r="D15" s="11">
        <v>1</v>
      </c>
      <c r="E15" s="11">
        <v>2</v>
      </c>
      <c r="F15" s="11" t="s">
        <v>441</v>
      </c>
      <c r="G15" s="11">
        <v>100</v>
      </c>
      <c r="H15" s="11">
        <v>0.283</v>
      </c>
      <c r="I15" s="11">
        <v>0.2693999999999999</v>
      </c>
      <c r="J15" s="11">
        <v>1.558</v>
      </c>
      <c r="K15" s="11">
        <v>1.5408</v>
      </c>
      <c r="L15" s="11">
        <v>16.08859649122807</v>
      </c>
      <c r="M15" s="11" t="s">
        <v>344</v>
      </c>
      <c r="N15" s="11" t="s">
        <v>7</v>
      </c>
      <c r="O15" s="11"/>
    </row>
    <row r="16" spans="1:15">
      <c r="A16" s="12" t="s">
        <v>370</v>
      </c>
      <c r="B16" s="12" t="s">
        <v>425</v>
      </c>
      <c r="C16" s="12" t="s">
        <v>433</v>
      </c>
      <c r="D16" s="12">
        <v>2</v>
      </c>
      <c r="E16" s="12">
        <v>4</v>
      </c>
      <c r="F16" s="12" t="s">
        <v>440</v>
      </c>
      <c r="G16" s="12">
        <v>1000</v>
      </c>
      <c r="H16" s="12">
        <v>0.458</v>
      </c>
      <c r="I16" s="12">
        <v>0.45</v>
      </c>
      <c r="J16" s="12">
        <v>4.101</v>
      </c>
      <c r="K16" s="12">
        <v>4.100099999999999</v>
      </c>
      <c r="L16" s="12">
        <v>12.84237288135593</v>
      </c>
      <c r="M16" s="12" t="s">
        <v>344</v>
      </c>
      <c r="N16" s="12" t="s">
        <v>7</v>
      </c>
      <c r="O16" s="12"/>
    </row>
    <row r="17" spans="1:15">
      <c r="A17" s="11" t="s">
        <v>371</v>
      </c>
      <c r="B17" s="11" t="s">
        <v>425</v>
      </c>
      <c r="C17" s="11" t="s">
        <v>433</v>
      </c>
      <c r="D17" s="11">
        <v>2</v>
      </c>
      <c r="E17" s="11">
        <v>4</v>
      </c>
      <c r="F17" s="11" t="s">
        <v>440</v>
      </c>
      <c r="G17" s="11">
        <v>1000</v>
      </c>
      <c r="H17" s="11">
        <v>0.55</v>
      </c>
      <c r="I17" s="11">
        <v>0.541</v>
      </c>
      <c r="J17" s="11">
        <v>4.03</v>
      </c>
      <c r="K17" s="11">
        <v>4.03</v>
      </c>
      <c r="L17" s="11">
        <v>2.977661016949152</v>
      </c>
      <c r="M17" s="11" t="s">
        <v>344</v>
      </c>
      <c r="N17" s="11" t="s">
        <v>7</v>
      </c>
      <c r="O17" s="11"/>
    </row>
    <row r="18" spans="1:15">
      <c r="A18" s="12" t="s">
        <v>372</v>
      </c>
      <c r="B18" s="12" t="s">
        <v>425</v>
      </c>
      <c r="C18" s="12" t="s">
        <v>432</v>
      </c>
      <c r="D18" s="12">
        <v>4</v>
      </c>
      <c r="E18" s="12">
        <v>8</v>
      </c>
      <c r="F18" s="12" t="s">
        <v>440</v>
      </c>
      <c r="G18" s="12">
        <v>2000</v>
      </c>
      <c r="H18" s="12">
        <v>0.375</v>
      </c>
      <c r="I18" s="12">
        <v>0.37</v>
      </c>
      <c r="J18" s="12">
        <v>5.438</v>
      </c>
      <c r="K18" s="12">
        <v>5.438</v>
      </c>
      <c r="L18" s="12">
        <v>5.702949152542372</v>
      </c>
      <c r="M18" s="12" t="s">
        <v>344</v>
      </c>
      <c r="N18" s="12" t="s">
        <v>7</v>
      </c>
      <c r="O18" s="12"/>
    </row>
    <row r="19" spans="1:15">
      <c r="A19" s="11" t="s">
        <v>373</v>
      </c>
      <c r="B19" s="11" t="s">
        <v>425</v>
      </c>
      <c r="C19" s="11" t="s">
        <v>435</v>
      </c>
      <c r="D19" s="11">
        <v>2</v>
      </c>
      <c r="E19" s="11">
        <v>8</v>
      </c>
      <c r="F19" s="11" t="s">
        <v>440</v>
      </c>
      <c r="G19" s="11">
        <v>2000</v>
      </c>
      <c r="H19" s="11">
        <v>5.775</v>
      </c>
      <c r="I19" s="11">
        <v>5.3056</v>
      </c>
      <c r="J19" s="11">
        <v>56.808</v>
      </c>
      <c r="K19" s="11">
        <v>56.808</v>
      </c>
      <c r="L19" s="11">
        <v>41.24586440677966</v>
      </c>
      <c r="M19" s="11" t="s">
        <v>344</v>
      </c>
      <c r="N19" s="11" t="s">
        <v>7</v>
      </c>
      <c r="O19" s="11"/>
    </row>
    <row r="20" spans="1:15">
      <c r="A20" s="12" t="s">
        <v>374</v>
      </c>
      <c r="B20" s="12" t="s">
        <v>425</v>
      </c>
      <c r="C20" s="12" t="s">
        <v>432</v>
      </c>
      <c r="D20" s="12">
        <v>4</v>
      </c>
      <c r="E20" s="12">
        <v>8</v>
      </c>
      <c r="F20" s="12" t="s">
        <v>440</v>
      </c>
      <c r="G20" s="12">
        <v>2000</v>
      </c>
      <c r="H20" s="12">
        <v>0.362</v>
      </c>
      <c r="I20" s="12">
        <v>0.3494999999999999</v>
      </c>
      <c r="J20" s="12">
        <v>5.377</v>
      </c>
      <c r="K20" s="12">
        <v>5.376</v>
      </c>
      <c r="L20" s="12">
        <v>4.084389830508475</v>
      </c>
      <c r="M20" s="12" t="s">
        <v>344</v>
      </c>
      <c r="N20" s="12" t="s">
        <v>7</v>
      </c>
      <c r="O20" s="12"/>
    </row>
    <row r="21" spans="1:15">
      <c r="A21" s="11" t="s">
        <v>375</v>
      </c>
      <c r="B21" s="11" t="s">
        <v>425</v>
      </c>
      <c r="C21" s="11" t="s">
        <v>432</v>
      </c>
      <c r="D21" s="11">
        <v>4</v>
      </c>
      <c r="E21" s="11">
        <v>8</v>
      </c>
      <c r="F21" s="11" t="s">
        <v>440</v>
      </c>
      <c r="G21" s="11">
        <v>2000</v>
      </c>
      <c r="H21" s="11">
        <v>0.333</v>
      </c>
      <c r="I21" s="11">
        <v>0.329</v>
      </c>
      <c r="J21" s="11">
        <v>5.367</v>
      </c>
      <c r="K21" s="11">
        <v>5.367</v>
      </c>
      <c r="L21" s="11">
        <v>0.7938644067796609</v>
      </c>
      <c r="M21" s="11" t="s">
        <v>344</v>
      </c>
      <c r="N21" s="11" t="s">
        <v>7</v>
      </c>
      <c r="O21" s="11"/>
    </row>
    <row r="22" spans="1:15">
      <c r="A22" s="12" t="s">
        <v>376</v>
      </c>
      <c r="B22" s="12" t="s">
        <v>425</v>
      </c>
      <c r="C22" s="12" t="s">
        <v>432</v>
      </c>
      <c r="D22" s="12">
        <v>4</v>
      </c>
      <c r="E22" s="12">
        <v>8</v>
      </c>
      <c r="F22" s="12" t="s">
        <v>440</v>
      </c>
      <c r="G22" s="12">
        <v>2000</v>
      </c>
      <c r="H22" s="12">
        <v>0.208</v>
      </c>
      <c r="I22" s="12">
        <v>0.208</v>
      </c>
      <c r="J22" s="12">
        <v>5.27</v>
      </c>
      <c r="K22" s="12">
        <v>5.27</v>
      </c>
      <c r="L22" s="12">
        <v>4.728000000000001</v>
      </c>
      <c r="M22" s="12" t="s">
        <v>344</v>
      </c>
      <c r="N22" s="12" t="s">
        <v>7</v>
      </c>
      <c r="O22" s="12"/>
    </row>
    <row r="23" spans="1:15">
      <c r="A23" s="11" t="s">
        <v>377</v>
      </c>
      <c r="B23" s="11" t="s">
        <v>425</v>
      </c>
      <c r="C23" s="11" t="s">
        <v>432</v>
      </c>
      <c r="D23" s="11">
        <v>4</v>
      </c>
      <c r="E23" s="11">
        <v>8</v>
      </c>
      <c r="F23" s="11" t="s">
        <v>440</v>
      </c>
      <c r="G23" s="11">
        <v>2000</v>
      </c>
      <c r="H23" s="11">
        <v>0.174</v>
      </c>
      <c r="I23" s="11">
        <v>0.17</v>
      </c>
      <c r="J23" s="11">
        <v>5.195</v>
      </c>
      <c r="K23" s="11">
        <v>5.195</v>
      </c>
      <c r="L23" s="11">
        <v>0.6589999999999999</v>
      </c>
      <c r="M23" s="11" t="s">
        <v>344</v>
      </c>
      <c r="N23" s="11" t="s">
        <v>7</v>
      </c>
      <c r="O23" s="11"/>
    </row>
    <row r="24" spans="1:15">
      <c r="A24" s="12" t="s">
        <v>378</v>
      </c>
      <c r="B24" s="12" t="s">
        <v>425</v>
      </c>
      <c r="C24" s="12" t="s">
        <v>432</v>
      </c>
      <c r="D24" s="12">
        <v>4</v>
      </c>
      <c r="E24" s="12">
        <v>8</v>
      </c>
      <c r="F24" s="12" t="s">
        <v>440</v>
      </c>
      <c r="G24" s="12">
        <v>2000</v>
      </c>
      <c r="H24" s="12">
        <v>0.409</v>
      </c>
      <c r="I24" s="12">
        <v>0.383</v>
      </c>
      <c r="J24" s="12">
        <v>7.652</v>
      </c>
      <c r="K24" s="12">
        <v>7.651</v>
      </c>
      <c r="L24" s="12">
        <v>1.161830508474577</v>
      </c>
      <c r="M24" s="12" t="s">
        <v>344</v>
      </c>
      <c r="N24" s="12" t="s">
        <v>7</v>
      </c>
      <c r="O24" s="12"/>
    </row>
    <row r="25" spans="1:15">
      <c r="A25" s="11" t="s">
        <v>379</v>
      </c>
      <c r="B25" s="11" t="s">
        <v>425</v>
      </c>
      <c r="C25" s="11" t="s">
        <v>432</v>
      </c>
      <c r="D25" s="11">
        <v>4</v>
      </c>
      <c r="E25" s="11">
        <v>8</v>
      </c>
      <c r="F25" s="11" t="s">
        <v>440</v>
      </c>
      <c r="G25" s="11">
        <v>2000</v>
      </c>
      <c r="H25" s="11">
        <v>0.208</v>
      </c>
      <c r="I25" s="11">
        <v>0.2043999999999999</v>
      </c>
      <c r="J25" s="11">
        <v>5.232</v>
      </c>
      <c r="K25" s="11">
        <v>5.232</v>
      </c>
      <c r="L25" s="11">
        <v>0.7180000000000002</v>
      </c>
      <c r="M25" s="11" t="s">
        <v>344</v>
      </c>
      <c r="N25" s="11" t="s">
        <v>7</v>
      </c>
      <c r="O25" s="11"/>
    </row>
    <row r="26" spans="1:15">
      <c r="A26" s="12" t="s">
        <v>380</v>
      </c>
      <c r="B26" s="12" t="s">
        <v>425</v>
      </c>
      <c r="C26" s="12" t="s">
        <v>432</v>
      </c>
      <c r="D26" s="12">
        <v>4</v>
      </c>
      <c r="E26" s="12">
        <v>8</v>
      </c>
      <c r="F26" s="12" t="s">
        <v>440</v>
      </c>
      <c r="G26" s="12">
        <v>2000</v>
      </c>
      <c r="H26" s="12">
        <v>0.1</v>
      </c>
      <c r="I26" s="12">
        <v>0.09909999999999999</v>
      </c>
      <c r="J26" s="12">
        <v>7.385</v>
      </c>
      <c r="K26" s="12">
        <v>7.385</v>
      </c>
      <c r="L26" s="12">
        <v>1.766</v>
      </c>
      <c r="M26" s="12" t="s">
        <v>344</v>
      </c>
      <c r="N26" s="12" t="s">
        <v>7</v>
      </c>
      <c r="O26" s="12"/>
    </row>
    <row r="27" spans="1:15">
      <c r="A27" s="11" t="s">
        <v>381</v>
      </c>
      <c r="B27" s="11" t="s">
        <v>425</v>
      </c>
      <c r="C27" s="11" t="s">
        <v>432</v>
      </c>
      <c r="D27" s="11">
        <v>4</v>
      </c>
      <c r="E27" s="11">
        <v>8</v>
      </c>
      <c r="F27" s="11" t="s">
        <v>440</v>
      </c>
      <c r="G27" s="11">
        <v>2000</v>
      </c>
      <c r="H27" s="11">
        <v>4.094</v>
      </c>
      <c r="I27" s="11">
        <v>3.955</v>
      </c>
      <c r="J27" s="11">
        <v>10.175</v>
      </c>
      <c r="K27" s="11">
        <v>10.169</v>
      </c>
      <c r="L27" s="11">
        <v>3.710816666666666</v>
      </c>
      <c r="M27" s="11" t="s">
        <v>344</v>
      </c>
      <c r="N27" s="11" t="s">
        <v>7</v>
      </c>
      <c r="O27" s="11"/>
    </row>
    <row r="28" spans="1:15">
      <c r="A28" s="12" t="s">
        <v>382</v>
      </c>
      <c r="B28" s="12" t="s">
        <v>425</v>
      </c>
      <c r="C28" s="12" t="s">
        <v>432</v>
      </c>
      <c r="D28" s="12">
        <v>4</v>
      </c>
      <c r="E28" s="12">
        <v>8</v>
      </c>
      <c r="F28" s="12" t="s">
        <v>440</v>
      </c>
      <c r="G28" s="12">
        <v>2000</v>
      </c>
      <c r="H28" s="12">
        <v>14.571</v>
      </c>
      <c r="I28" s="12">
        <v>0.3123999999999999</v>
      </c>
      <c r="J28" s="12">
        <v>55.372</v>
      </c>
      <c r="K28" s="12">
        <v>55.372</v>
      </c>
      <c r="L28" s="12">
        <v>36.41061666666666</v>
      </c>
      <c r="M28" s="12" t="s">
        <v>344</v>
      </c>
      <c r="N28" s="12" t="s">
        <v>7</v>
      </c>
      <c r="O28" s="12"/>
    </row>
    <row r="29" spans="1:15">
      <c r="A29" s="11" t="s">
        <v>383</v>
      </c>
      <c r="B29" s="11" t="s">
        <v>425</v>
      </c>
      <c r="C29" s="11" t="s">
        <v>433</v>
      </c>
      <c r="D29" s="11">
        <v>2</v>
      </c>
      <c r="E29" s="11">
        <v>4</v>
      </c>
      <c r="F29" s="11" t="s">
        <v>440</v>
      </c>
      <c r="G29" s="11">
        <v>1000</v>
      </c>
      <c r="H29" s="11">
        <v>0.35</v>
      </c>
      <c r="I29" s="11">
        <v>0.35</v>
      </c>
      <c r="J29" s="11">
        <v>4.09</v>
      </c>
      <c r="K29" s="11">
        <v>4.09</v>
      </c>
      <c r="L29" s="11">
        <v>3.276949152542373</v>
      </c>
      <c r="M29" s="11" t="s">
        <v>344</v>
      </c>
      <c r="N29" s="11" t="s">
        <v>7</v>
      </c>
      <c r="O29" s="11"/>
    </row>
    <row r="30" spans="1:15">
      <c r="A30" s="12" t="s">
        <v>384</v>
      </c>
      <c r="B30" s="12" t="s">
        <v>425</v>
      </c>
      <c r="C30" s="12" t="s">
        <v>433</v>
      </c>
      <c r="D30" s="12">
        <v>2</v>
      </c>
      <c r="E30" s="12">
        <v>4</v>
      </c>
      <c r="F30" s="12" t="s">
        <v>440</v>
      </c>
      <c r="G30" s="12">
        <v>1000</v>
      </c>
      <c r="H30" s="12">
        <v>0.75</v>
      </c>
      <c r="I30" s="12">
        <v>0.741</v>
      </c>
      <c r="J30" s="12">
        <v>31.988</v>
      </c>
      <c r="K30" s="12">
        <v>31.988</v>
      </c>
      <c r="L30" s="12">
        <v>9.314616666666668</v>
      </c>
      <c r="M30" s="12" t="s">
        <v>344</v>
      </c>
      <c r="N30" s="12" t="s">
        <v>7</v>
      </c>
      <c r="O30" s="12"/>
    </row>
    <row r="31" spans="1:15">
      <c r="A31" s="11" t="s">
        <v>385</v>
      </c>
      <c r="B31" s="11" t="s">
        <v>425</v>
      </c>
      <c r="C31" s="11" t="s">
        <v>432</v>
      </c>
      <c r="D31" s="11">
        <v>4</v>
      </c>
      <c r="E31" s="11">
        <v>8</v>
      </c>
      <c r="F31" s="11" t="s">
        <v>440</v>
      </c>
      <c r="G31" s="11">
        <v>2000</v>
      </c>
      <c r="H31" s="11">
        <v>0.187</v>
      </c>
      <c r="I31" s="11">
        <v>0.183</v>
      </c>
      <c r="J31" s="11">
        <v>5.523</v>
      </c>
      <c r="K31" s="11">
        <v>5.523</v>
      </c>
      <c r="L31" s="11">
        <v>3.384999999999998</v>
      </c>
      <c r="M31" s="11" t="s">
        <v>344</v>
      </c>
      <c r="N31" s="11" t="s">
        <v>7</v>
      </c>
      <c r="O31" s="11"/>
    </row>
    <row r="32" spans="1:15">
      <c r="A32" s="12" t="s">
        <v>386</v>
      </c>
      <c r="B32" s="12" t="s">
        <v>425</v>
      </c>
      <c r="C32" s="12" t="s">
        <v>432</v>
      </c>
      <c r="D32" s="12">
        <v>4</v>
      </c>
      <c r="E32" s="12">
        <v>8</v>
      </c>
      <c r="F32" s="12" t="s">
        <v>440</v>
      </c>
      <c r="G32" s="12">
        <v>2000</v>
      </c>
      <c r="H32" s="12">
        <v>0.163</v>
      </c>
      <c r="I32" s="12">
        <v>0.162</v>
      </c>
      <c r="J32" s="12">
        <v>5.329</v>
      </c>
      <c r="K32" s="12">
        <v>5.329</v>
      </c>
      <c r="L32" s="12">
        <v>1.648</v>
      </c>
      <c r="M32" s="12" t="s">
        <v>344</v>
      </c>
      <c r="N32" s="12" t="s">
        <v>7</v>
      </c>
      <c r="O32" s="12"/>
    </row>
    <row r="33" spans="1:15">
      <c r="A33" s="11" t="s">
        <v>387</v>
      </c>
      <c r="B33" s="11" t="s">
        <v>425</v>
      </c>
      <c r="C33" s="11" t="s">
        <v>433</v>
      </c>
      <c r="D33" s="11">
        <v>2</v>
      </c>
      <c r="E33" s="11">
        <v>4</v>
      </c>
      <c r="F33" s="11" t="s">
        <v>440</v>
      </c>
      <c r="G33" s="11">
        <v>1000</v>
      </c>
      <c r="H33" s="11">
        <v>0.341</v>
      </c>
      <c r="I33" s="11">
        <v>0.3338</v>
      </c>
      <c r="J33" s="11">
        <v>4.213</v>
      </c>
      <c r="K33" s="11">
        <v>4.213</v>
      </c>
      <c r="L33" s="11">
        <v>4.161966666666665</v>
      </c>
      <c r="M33" s="11" t="s">
        <v>344</v>
      </c>
      <c r="N33" s="11" t="s">
        <v>7</v>
      </c>
      <c r="O33" s="11"/>
    </row>
    <row r="34" spans="1:15">
      <c r="A34" s="12" t="s">
        <v>388</v>
      </c>
      <c r="B34" s="12" t="s">
        <v>425</v>
      </c>
      <c r="C34" s="12" t="s">
        <v>433</v>
      </c>
      <c r="D34" s="12">
        <v>2</v>
      </c>
      <c r="E34" s="12">
        <v>4</v>
      </c>
      <c r="F34" s="12" t="s">
        <v>440</v>
      </c>
      <c r="G34" s="12">
        <v>1000</v>
      </c>
      <c r="H34" s="12">
        <v>0.308</v>
      </c>
      <c r="I34" s="12">
        <v>0.3</v>
      </c>
      <c r="J34" s="12">
        <v>5.803</v>
      </c>
      <c r="K34" s="12">
        <v>5.803</v>
      </c>
      <c r="L34" s="12">
        <v>4.059600000000001</v>
      </c>
      <c r="M34" s="12" t="s">
        <v>344</v>
      </c>
      <c r="N34" s="12" t="s">
        <v>7</v>
      </c>
      <c r="O34" s="12"/>
    </row>
    <row r="35" spans="1:15">
      <c r="A35" s="11" t="s">
        <v>389</v>
      </c>
      <c r="B35" s="11" t="s">
        <v>425</v>
      </c>
      <c r="C35" s="11" t="s">
        <v>433</v>
      </c>
      <c r="D35" s="11">
        <v>2</v>
      </c>
      <c r="E35" s="11">
        <v>4</v>
      </c>
      <c r="F35" s="11" t="s">
        <v>440</v>
      </c>
      <c r="G35" s="11">
        <v>1000</v>
      </c>
      <c r="H35" s="11">
        <v>0.708</v>
      </c>
      <c r="I35" s="11">
        <v>0.6909999999999999</v>
      </c>
      <c r="J35" s="11">
        <v>9.287000000000001</v>
      </c>
      <c r="K35" s="11">
        <v>9.287000000000001</v>
      </c>
      <c r="L35" s="11">
        <v>5.005516666666667</v>
      </c>
      <c r="M35" s="11" t="s">
        <v>344</v>
      </c>
      <c r="N35" s="11" t="s">
        <v>7</v>
      </c>
      <c r="O35" s="11"/>
    </row>
    <row r="36" spans="1:15">
      <c r="A36" s="12" t="s">
        <v>390</v>
      </c>
      <c r="B36" s="12" t="s">
        <v>425</v>
      </c>
      <c r="C36" s="12" t="s">
        <v>433</v>
      </c>
      <c r="D36" s="12">
        <v>2</v>
      </c>
      <c r="E36" s="12">
        <v>4</v>
      </c>
      <c r="F36" s="12" t="s">
        <v>440</v>
      </c>
      <c r="G36" s="12">
        <v>1000</v>
      </c>
      <c r="H36" s="12">
        <v>0.316</v>
      </c>
      <c r="I36" s="12">
        <v>0.308</v>
      </c>
      <c r="J36" s="12">
        <v>4.265</v>
      </c>
      <c r="K36" s="12">
        <v>4.264</v>
      </c>
      <c r="L36" s="12">
        <v>3.881300000000001</v>
      </c>
      <c r="M36" s="12" t="s">
        <v>344</v>
      </c>
      <c r="N36" s="12" t="s">
        <v>7</v>
      </c>
      <c r="O36" s="12"/>
    </row>
    <row r="37" spans="1:15">
      <c r="A37" s="11" t="s">
        <v>391</v>
      </c>
      <c r="B37" s="11" t="s">
        <v>425</v>
      </c>
      <c r="C37" s="11" t="s">
        <v>433</v>
      </c>
      <c r="D37" s="11">
        <v>2</v>
      </c>
      <c r="E37" s="11">
        <v>4</v>
      </c>
      <c r="F37" s="11" t="s">
        <v>440</v>
      </c>
      <c r="G37" s="11">
        <v>1000</v>
      </c>
      <c r="H37" s="11">
        <v>0.6830000000000001</v>
      </c>
      <c r="I37" s="11">
        <v>0.67405</v>
      </c>
      <c r="J37" s="11">
        <v>4.062</v>
      </c>
      <c r="K37" s="11">
        <v>4.062</v>
      </c>
      <c r="L37" s="11">
        <v>6.272333333333332</v>
      </c>
      <c r="M37" s="11" t="s">
        <v>344</v>
      </c>
      <c r="N37" s="11" t="s">
        <v>7</v>
      </c>
      <c r="O37" s="11"/>
    </row>
    <row r="38" spans="1:15">
      <c r="A38" s="12" t="s">
        <v>392</v>
      </c>
      <c r="B38" s="12" t="s">
        <v>425</v>
      </c>
      <c r="C38" s="12" t="s">
        <v>432</v>
      </c>
      <c r="D38" s="12">
        <v>4</v>
      </c>
      <c r="E38" s="12">
        <v>8</v>
      </c>
      <c r="F38" s="12" t="s">
        <v>440</v>
      </c>
      <c r="G38" s="12">
        <v>2000</v>
      </c>
      <c r="H38" s="12">
        <v>0.324</v>
      </c>
      <c r="I38" s="12">
        <v>0.3083999999999999</v>
      </c>
      <c r="J38" s="12">
        <v>5.418</v>
      </c>
      <c r="K38" s="12">
        <v>5.418</v>
      </c>
      <c r="L38" s="12">
        <v>1.373450000000001</v>
      </c>
      <c r="M38" s="12" t="s">
        <v>344</v>
      </c>
      <c r="N38" s="12" t="s">
        <v>7</v>
      </c>
      <c r="O38" s="12"/>
    </row>
    <row r="39" spans="1:15">
      <c r="A39" s="11" t="s">
        <v>393</v>
      </c>
      <c r="B39" s="11" t="s">
        <v>425</v>
      </c>
      <c r="C39" s="11" t="s">
        <v>432</v>
      </c>
      <c r="D39" s="11">
        <v>4</v>
      </c>
      <c r="E39" s="11">
        <v>8</v>
      </c>
      <c r="F39" s="11" t="s">
        <v>440</v>
      </c>
      <c r="G39" s="11">
        <v>2000</v>
      </c>
      <c r="H39" s="11">
        <v>0.333</v>
      </c>
      <c r="I39" s="11">
        <v>0.329</v>
      </c>
      <c r="J39" s="11">
        <v>5.453</v>
      </c>
      <c r="K39" s="11">
        <v>5.453</v>
      </c>
      <c r="L39" s="11">
        <v>2.068066666666667</v>
      </c>
      <c r="M39" s="11" t="s">
        <v>344</v>
      </c>
      <c r="N39" s="11" t="s">
        <v>7</v>
      </c>
      <c r="O39" s="11"/>
    </row>
    <row r="40" spans="1:15">
      <c r="A40" s="12" t="s">
        <v>394</v>
      </c>
      <c r="B40" s="12" t="s">
        <v>425</v>
      </c>
      <c r="C40" s="12" t="s">
        <v>429</v>
      </c>
      <c r="D40" s="12">
        <v>8</v>
      </c>
      <c r="E40" s="12">
        <v>16</v>
      </c>
      <c r="F40" s="12" t="s">
        <v>440</v>
      </c>
      <c r="G40" s="12">
        <v>4000</v>
      </c>
      <c r="H40" s="12">
        <v>0.143</v>
      </c>
      <c r="I40" s="12">
        <v>0.137</v>
      </c>
      <c r="J40" s="12">
        <v>4.653</v>
      </c>
      <c r="K40" s="12">
        <v>4.652</v>
      </c>
      <c r="L40" s="12">
        <v>5.920300000000001</v>
      </c>
      <c r="M40" s="12" t="s">
        <v>344</v>
      </c>
      <c r="N40" s="12" t="s">
        <v>7</v>
      </c>
      <c r="O40" s="12"/>
    </row>
    <row r="41" spans="1:15">
      <c r="A41" s="11" t="s">
        <v>395</v>
      </c>
      <c r="B41" s="11" t="s">
        <v>425</v>
      </c>
      <c r="C41" s="11" t="s">
        <v>432</v>
      </c>
      <c r="D41" s="11">
        <v>4</v>
      </c>
      <c r="E41" s="11">
        <v>8</v>
      </c>
      <c r="F41" s="11" t="s">
        <v>440</v>
      </c>
      <c r="G41" s="11">
        <v>2000</v>
      </c>
      <c r="H41" s="11">
        <v>0.387</v>
      </c>
      <c r="I41" s="11">
        <v>0.383</v>
      </c>
      <c r="J41" s="11">
        <v>5.451</v>
      </c>
      <c r="K41" s="11">
        <v>5.443099999999999</v>
      </c>
      <c r="L41" s="11">
        <v>12.95541666666667</v>
      </c>
      <c r="M41" s="11" t="s">
        <v>344</v>
      </c>
      <c r="N41" s="11" t="s">
        <v>7</v>
      </c>
      <c r="O41" s="11"/>
    </row>
    <row r="42" spans="1:15">
      <c r="A42" s="12" t="s">
        <v>396</v>
      </c>
      <c r="B42" s="12" t="s">
        <v>425</v>
      </c>
      <c r="C42" s="12" t="s">
        <v>428</v>
      </c>
      <c r="D42" s="12">
        <v>16</v>
      </c>
      <c r="E42" s="12">
        <v>64</v>
      </c>
      <c r="F42" s="12" t="s">
        <v>440</v>
      </c>
      <c r="G42" s="12">
        <v>16000</v>
      </c>
      <c r="H42" s="12">
        <v>0.078</v>
      </c>
      <c r="I42" s="12">
        <v>0.078</v>
      </c>
      <c r="J42" s="12">
        <v>6.809</v>
      </c>
      <c r="K42" s="12">
        <v>6.809</v>
      </c>
      <c r="L42" s="12">
        <v>45.15299999999999</v>
      </c>
      <c r="M42" s="12" t="s">
        <v>344</v>
      </c>
      <c r="N42" s="12" t="s">
        <v>7</v>
      </c>
      <c r="O42" s="12"/>
    </row>
    <row r="43" spans="1:15">
      <c r="A43" s="11" t="s">
        <v>397</v>
      </c>
      <c r="B43" s="11" t="s">
        <v>425</v>
      </c>
      <c r="C43" s="11" t="s">
        <v>432</v>
      </c>
      <c r="D43" s="11">
        <v>4</v>
      </c>
      <c r="E43" s="11">
        <v>8</v>
      </c>
      <c r="F43" s="11" t="s">
        <v>440</v>
      </c>
      <c r="G43" s="11">
        <v>2000</v>
      </c>
      <c r="H43" s="11">
        <v>15.511</v>
      </c>
      <c r="I43" s="11">
        <v>1.319449999999996</v>
      </c>
      <c r="J43" s="11">
        <v>55.792</v>
      </c>
      <c r="K43" s="11">
        <v>55.791</v>
      </c>
      <c r="L43" s="11">
        <v>8.690016666666668</v>
      </c>
      <c r="M43" s="11" t="s">
        <v>344</v>
      </c>
      <c r="N43" s="11" t="s">
        <v>7</v>
      </c>
      <c r="O43" s="11"/>
    </row>
    <row r="44" spans="1:15">
      <c r="A44" s="12" t="s">
        <v>398</v>
      </c>
      <c r="B44" s="12" t="s">
        <v>425</v>
      </c>
      <c r="C44" s="12" t="s">
        <v>432</v>
      </c>
      <c r="D44" s="12">
        <v>4</v>
      </c>
      <c r="E44" s="12">
        <v>8</v>
      </c>
      <c r="F44" s="12" t="s">
        <v>440</v>
      </c>
      <c r="G44" s="12">
        <v>2000</v>
      </c>
      <c r="H44" s="12">
        <v>0.166</v>
      </c>
      <c r="I44" s="12">
        <v>0.166</v>
      </c>
      <c r="J44" s="12">
        <v>6.785</v>
      </c>
      <c r="K44" s="12">
        <v>6.783</v>
      </c>
      <c r="L44" s="12">
        <v>2.542633333333334</v>
      </c>
      <c r="M44" s="12" t="s">
        <v>344</v>
      </c>
      <c r="N44" s="12" t="s">
        <v>7</v>
      </c>
      <c r="O44" s="12"/>
    </row>
    <row r="45" spans="1:15">
      <c r="A45" s="11" t="s">
        <v>399</v>
      </c>
      <c r="B45" s="11" t="s">
        <v>425</v>
      </c>
      <c r="C45" s="11" t="s">
        <v>432</v>
      </c>
      <c r="D45" s="11">
        <v>4</v>
      </c>
      <c r="E45" s="11">
        <v>8</v>
      </c>
      <c r="F45" s="11" t="s">
        <v>440</v>
      </c>
      <c r="G45" s="11">
        <v>2000</v>
      </c>
      <c r="H45" s="11">
        <v>0.312</v>
      </c>
      <c r="I45" s="11">
        <v>0.304</v>
      </c>
      <c r="J45" s="11">
        <v>55.524</v>
      </c>
      <c r="K45" s="11">
        <v>55.52305</v>
      </c>
      <c r="L45" s="11">
        <v>94.36006666666664</v>
      </c>
      <c r="M45" s="11" t="s">
        <v>344</v>
      </c>
      <c r="N45" s="11" t="s">
        <v>7</v>
      </c>
      <c r="O45" s="11"/>
    </row>
    <row r="46" spans="1:15">
      <c r="A46" s="12" t="s">
        <v>400</v>
      </c>
      <c r="B46" s="12" t="s">
        <v>425</v>
      </c>
      <c r="C46" s="12" t="s">
        <v>436</v>
      </c>
      <c r="D46" s="12">
        <v>4</v>
      </c>
      <c r="E46" s="12">
        <v>16</v>
      </c>
      <c r="F46" s="12" t="s">
        <v>440</v>
      </c>
      <c r="G46" s="12">
        <v>4000</v>
      </c>
      <c r="H46" s="12">
        <v>0.191</v>
      </c>
      <c r="I46" s="12">
        <v>0.191</v>
      </c>
      <c r="J46" s="12">
        <v>12.707</v>
      </c>
      <c r="K46" s="12">
        <v>12.706</v>
      </c>
      <c r="L46" s="12">
        <v>22.193</v>
      </c>
      <c r="M46" s="12" t="s">
        <v>344</v>
      </c>
      <c r="N46" s="12" t="s">
        <v>7</v>
      </c>
      <c r="O46" s="12"/>
    </row>
    <row r="47" spans="1:15">
      <c r="A47" s="11" t="s">
        <v>401</v>
      </c>
      <c r="B47" s="11" t="s">
        <v>425</v>
      </c>
      <c r="C47" s="11" t="s">
        <v>432</v>
      </c>
      <c r="D47" s="11">
        <v>4</v>
      </c>
      <c r="E47" s="11">
        <v>8</v>
      </c>
      <c r="F47" s="11" t="s">
        <v>440</v>
      </c>
      <c r="G47" s="11">
        <v>2000</v>
      </c>
      <c r="H47" s="11">
        <v>0.55</v>
      </c>
      <c r="I47" s="11">
        <v>0.529</v>
      </c>
      <c r="J47" s="11">
        <v>47.187</v>
      </c>
      <c r="K47" s="11">
        <v>47.17505</v>
      </c>
      <c r="L47" s="11">
        <v>9.105233333333334</v>
      </c>
      <c r="M47" s="11" t="s">
        <v>344</v>
      </c>
      <c r="N47" s="11" t="s">
        <v>7</v>
      </c>
      <c r="O47" s="11"/>
    </row>
    <row r="48" spans="1:15">
      <c r="A48" s="12" t="s">
        <v>402</v>
      </c>
      <c r="B48" s="12" t="s">
        <v>425</v>
      </c>
      <c r="C48" s="12" t="s">
        <v>433</v>
      </c>
      <c r="D48" s="12">
        <v>2</v>
      </c>
      <c r="E48" s="12">
        <v>4</v>
      </c>
      <c r="F48" s="12" t="s">
        <v>440</v>
      </c>
      <c r="G48" s="12">
        <v>1000</v>
      </c>
      <c r="H48" s="12">
        <v>0.308</v>
      </c>
      <c r="I48" s="12">
        <v>0.3</v>
      </c>
      <c r="J48" s="12">
        <v>5.25</v>
      </c>
      <c r="K48" s="12">
        <v>5.249</v>
      </c>
      <c r="L48" s="12">
        <v>2.094566666666667</v>
      </c>
      <c r="M48" s="12" t="s">
        <v>344</v>
      </c>
      <c r="N48" s="12" t="s">
        <v>7</v>
      </c>
      <c r="O48" s="12"/>
    </row>
    <row r="49" spans="1:15">
      <c r="A49" s="11" t="s">
        <v>403</v>
      </c>
      <c r="B49" s="11" t="s">
        <v>425</v>
      </c>
      <c r="C49" s="11" t="s">
        <v>433</v>
      </c>
      <c r="D49" s="11">
        <v>2</v>
      </c>
      <c r="E49" s="11">
        <v>4</v>
      </c>
      <c r="F49" s="11" t="s">
        <v>440</v>
      </c>
      <c r="G49" s="11">
        <v>1000</v>
      </c>
      <c r="H49" s="11">
        <v>0.641</v>
      </c>
      <c r="I49" s="11">
        <v>0.6</v>
      </c>
      <c r="J49" s="11">
        <v>4.481</v>
      </c>
      <c r="K49" s="11">
        <v>4.47905</v>
      </c>
      <c r="L49" s="11">
        <v>10.15728333333334</v>
      </c>
      <c r="M49" s="11" t="s">
        <v>344</v>
      </c>
      <c r="N49" s="11" t="s">
        <v>7</v>
      </c>
      <c r="O49" s="11"/>
    </row>
    <row r="50" spans="1:15">
      <c r="A50" s="12" t="s">
        <v>404</v>
      </c>
      <c r="B50" s="12" t="s">
        <v>425</v>
      </c>
      <c r="C50" s="12" t="s">
        <v>429</v>
      </c>
      <c r="D50" s="12">
        <v>8</v>
      </c>
      <c r="E50" s="12">
        <v>16</v>
      </c>
      <c r="F50" s="12" t="s">
        <v>440</v>
      </c>
      <c r="G50" s="12">
        <v>4000</v>
      </c>
      <c r="H50" s="12">
        <v>0.114</v>
      </c>
      <c r="I50" s="12">
        <v>0.114</v>
      </c>
      <c r="J50" s="12">
        <v>4.622</v>
      </c>
      <c r="K50" s="12">
        <v>4.622</v>
      </c>
      <c r="L50" s="12">
        <v>41.99005</v>
      </c>
      <c r="M50" s="12" t="s">
        <v>344</v>
      </c>
      <c r="N50" s="12" t="s">
        <v>7</v>
      </c>
      <c r="O50" s="12"/>
    </row>
    <row r="51" spans="1:15">
      <c r="A51" s="11" t="s">
        <v>405</v>
      </c>
      <c r="B51" s="11" t="s">
        <v>425</v>
      </c>
      <c r="C51" s="11" t="s">
        <v>432</v>
      </c>
      <c r="D51" s="11">
        <v>4</v>
      </c>
      <c r="E51" s="11">
        <v>8</v>
      </c>
      <c r="F51" s="11" t="s">
        <v>440</v>
      </c>
      <c r="G51" s="11">
        <v>2000</v>
      </c>
      <c r="H51" s="11">
        <v>0.766</v>
      </c>
      <c r="I51" s="11">
        <v>0.7452</v>
      </c>
      <c r="J51" s="11">
        <v>5.922</v>
      </c>
      <c r="K51" s="11">
        <v>5.91805</v>
      </c>
      <c r="L51" s="11">
        <v>2.16395</v>
      </c>
      <c r="M51" s="11" t="s">
        <v>344</v>
      </c>
      <c r="N51" s="11" t="s">
        <v>7</v>
      </c>
      <c r="O51" s="11"/>
    </row>
    <row r="52" spans="1:15">
      <c r="A52" s="12" t="s">
        <v>406</v>
      </c>
      <c r="B52" s="12" t="s">
        <v>425</v>
      </c>
      <c r="C52" s="12" t="s">
        <v>432</v>
      </c>
      <c r="D52" s="12">
        <v>4</v>
      </c>
      <c r="E52" s="12">
        <v>8</v>
      </c>
      <c r="F52" s="12" t="s">
        <v>440</v>
      </c>
      <c r="G52" s="12">
        <v>2000</v>
      </c>
      <c r="H52" s="12">
        <v>2.27</v>
      </c>
      <c r="I52" s="12">
        <v>2.04225</v>
      </c>
      <c r="J52" s="12">
        <v>55.728</v>
      </c>
      <c r="K52" s="12">
        <v>55.719</v>
      </c>
      <c r="L52" s="12">
        <v>49.76370000000001</v>
      </c>
      <c r="M52" s="12" t="s">
        <v>344</v>
      </c>
      <c r="N52" s="12" t="s">
        <v>7</v>
      </c>
      <c r="O52" s="12"/>
    </row>
    <row r="53" spans="1:15">
      <c r="A53" s="11" t="s">
        <v>407</v>
      </c>
      <c r="B53" s="11" t="s">
        <v>425</v>
      </c>
      <c r="C53" s="11" t="s">
        <v>429</v>
      </c>
      <c r="D53" s="11">
        <v>8</v>
      </c>
      <c r="E53" s="11">
        <v>16</v>
      </c>
      <c r="F53" s="11" t="s">
        <v>440</v>
      </c>
      <c r="G53" s="11">
        <v>4000</v>
      </c>
      <c r="H53" s="11">
        <v>1.029</v>
      </c>
      <c r="I53" s="11">
        <v>0.3646999999999999</v>
      </c>
      <c r="J53" s="11">
        <v>54.986</v>
      </c>
      <c r="K53" s="11">
        <v>54.985</v>
      </c>
      <c r="L53" s="11">
        <v>39.97015000000001</v>
      </c>
      <c r="M53" s="11" t="s">
        <v>344</v>
      </c>
      <c r="N53" s="11" t="s">
        <v>7</v>
      </c>
      <c r="O53" s="11"/>
    </row>
    <row r="54" spans="1:15">
      <c r="A54" s="12" t="s">
        <v>408</v>
      </c>
      <c r="B54" s="12" t="s">
        <v>425</v>
      </c>
      <c r="C54" s="12" t="s">
        <v>433</v>
      </c>
      <c r="D54" s="12">
        <v>2</v>
      </c>
      <c r="E54" s="12">
        <v>4</v>
      </c>
      <c r="F54" s="12" t="s">
        <v>440</v>
      </c>
      <c r="G54" s="12">
        <v>1000</v>
      </c>
      <c r="H54" s="12">
        <v>0.699</v>
      </c>
      <c r="I54" s="12">
        <v>0.67405</v>
      </c>
      <c r="J54" s="12">
        <v>4.016</v>
      </c>
      <c r="K54" s="12">
        <v>4.016</v>
      </c>
      <c r="L54" s="12">
        <v>3.32465</v>
      </c>
      <c r="M54" s="12" t="s">
        <v>344</v>
      </c>
      <c r="N54" s="12" t="s">
        <v>7</v>
      </c>
      <c r="O54" s="12"/>
    </row>
    <row r="55" spans="1:15">
      <c r="A55" s="11" t="s">
        <v>409</v>
      </c>
      <c r="B55" s="11" t="s">
        <v>425</v>
      </c>
      <c r="C55" s="11" t="s">
        <v>437</v>
      </c>
      <c r="D55" s="11">
        <v>1</v>
      </c>
      <c r="E55" s="11">
        <v>1</v>
      </c>
      <c r="F55" s="11" t="s">
        <v>440</v>
      </c>
      <c r="G55" s="11">
        <v>250</v>
      </c>
      <c r="H55" s="11">
        <v>0.7</v>
      </c>
      <c r="I55" s="11">
        <v>0.7</v>
      </c>
      <c r="J55" s="11">
        <v>5.653</v>
      </c>
      <c r="K55" s="11">
        <v>5.653</v>
      </c>
      <c r="L55" s="11">
        <v>11.188</v>
      </c>
      <c r="M55" s="11" t="s">
        <v>344</v>
      </c>
      <c r="N55" s="11" t="s">
        <v>7</v>
      </c>
      <c r="O55" s="11"/>
    </row>
    <row r="56" spans="1:15">
      <c r="A56" s="12" t="s">
        <v>410</v>
      </c>
      <c r="B56" s="12" t="s">
        <v>425</v>
      </c>
      <c r="C56" s="12" t="s">
        <v>438</v>
      </c>
      <c r="D56" s="12">
        <v>8</v>
      </c>
      <c r="E56" s="12">
        <v>64</v>
      </c>
      <c r="F56" s="12" t="s">
        <v>441</v>
      </c>
      <c r="G56" s="12">
        <v>3200</v>
      </c>
      <c r="H56" s="12">
        <v>31.377</v>
      </c>
      <c r="I56" s="12">
        <v>26.2614</v>
      </c>
      <c r="J56" s="12">
        <v>26.118</v>
      </c>
      <c r="K56" s="12">
        <v>26.1172</v>
      </c>
      <c r="L56" s="12">
        <v>43.16050877192982</v>
      </c>
      <c r="M56" s="12" t="s">
        <v>344</v>
      </c>
      <c r="N56" s="12" t="s">
        <v>7</v>
      </c>
      <c r="O56" s="12"/>
    </row>
    <row r="57" spans="1:15">
      <c r="A57" s="11" t="s">
        <v>411</v>
      </c>
      <c r="B57" s="11" t="s">
        <v>425</v>
      </c>
      <c r="C57" s="11" t="s">
        <v>433</v>
      </c>
      <c r="D57" s="11">
        <v>2</v>
      </c>
      <c r="E57" s="11">
        <v>4</v>
      </c>
      <c r="F57" s="11" t="s">
        <v>440</v>
      </c>
      <c r="G57" s="11">
        <v>1000</v>
      </c>
      <c r="H57" s="11">
        <v>1.233</v>
      </c>
      <c r="I57" s="11">
        <v>1.2084</v>
      </c>
      <c r="J57" s="11">
        <v>4.289</v>
      </c>
      <c r="K57" s="11">
        <v>4.288</v>
      </c>
      <c r="L57" s="11">
        <v>8.162183333333335</v>
      </c>
      <c r="M57" s="11" t="s">
        <v>344</v>
      </c>
      <c r="N57" s="11" t="s">
        <v>7</v>
      </c>
      <c r="O57" s="11"/>
    </row>
    <row r="58" spans="1:15">
      <c r="A58" s="12" t="s">
        <v>412</v>
      </c>
      <c r="B58" s="12" t="s">
        <v>425</v>
      </c>
      <c r="C58" s="12" t="s">
        <v>433</v>
      </c>
      <c r="D58" s="12">
        <v>2</v>
      </c>
      <c r="E58" s="12">
        <v>4</v>
      </c>
      <c r="F58" s="12" t="s">
        <v>440</v>
      </c>
      <c r="G58" s="12">
        <v>1000</v>
      </c>
      <c r="H58" s="12">
        <v>0.308</v>
      </c>
      <c r="I58" s="12">
        <v>0.3003999999999999</v>
      </c>
      <c r="J58" s="12">
        <v>5.035</v>
      </c>
      <c r="K58" s="12">
        <v>5.034</v>
      </c>
      <c r="L58" s="12">
        <v>4.352050000000001</v>
      </c>
      <c r="M58" s="12" t="s">
        <v>344</v>
      </c>
      <c r="N58" s="12" t="s">
        <v>7</v>
      </c>
      <c r="O58" s="12"/>
    </row>
    <row r="59" spans="1:15">
      <c r="A59" s="11" t="s">
        <v>413</v>
      </c>
      <c r="B59" s="11" t="s">
        <v>425</v>
      </c>
      <c r="C59" s="11" t="s">
        <v>432</v>
      </c>
      <c r="D59" s="11">
        <v>4</v>
      </c>
      <c r="E59" s="11">
        <v>8</v>
      </c>
      <c r="F59" s="11" t="s">
        <v>440</v>
      </c>
      <c r="G59" s="11">
        <v>2000</v>
      </c>
      <c r="H59" s="11">
        <v>15.425</v>
      </c>
      <c r="I59" s="11">
        <v>14.68895</v>
      </c>
      <c r="J59" s="11">
        <v>58.539</v>
      </c>
      <c r="K59" s="11">
        <v>58.522</v>
      </c>
      <c r="L59" s="11">
        <v>76.70831666666666</v>
      </c>
      <c r="M59" s="11" t="s">
        <v>344</v>
      </c>
      <c r="N59" s="11" t="s">
        <v>7</v>
      </c>
      <c r="O59" s="11"/>
    </row>
    <row r="60" spans="1:15">
      <c r="A60" s="12" t="s">
        <v>414</v>
      </c>
      <c r="B60" s="12" t="s">
        <v>425</v>
      </c>
      <c r="C60" s="12" t="s">
        <v>432</v>
      </c>
      <c r="D60" s="12">
        <v>4</v>
      </c>
      <c r="E60" s="12">
        <v>8</v>
      </c>
      <c r="F60" s="12" t="s">
        <v>440</v>
      </c>
      <c r="G60" s="12">
        <v>2000</v>
      </c>
      <c r="H60" s="12">
        <v>0.445</v>
      </c>
      <c r="I60" s="12">
        <v>0.437</v>
      </c>
      <c r="J60" s="12">
        <v>13.097</v>
      </c>
      <c r="K60" s="12">
        <v>13.097</v>
      </c>
      <c r="L60" s="12">
        <v>2.781416666666666</v>
      </c>
      <c r="M60" s="12" t="s">
        <v>344</v>
      </c>
      <c r="N60" s="12" t="s">
        <v>7</v>
      </c>
      <c r="O60" s="12"/>
    </row>
    <row r="61" spans="1:15">
      <c r="A61" s="11" t="s">
        <v>415</v>
      </c>
      <c r="B61" s="11" t="s">
        <v>425</v>
      </c>
      <c r="C61" s="11" t="s">
        <v>433</v>
      </c>
      <c r="D61" s="11">
        <v>2</v>
      </c>
      <c r="E61" s="11">
        <v>4</v>
      </c>
      <c r="F61" s="11" t="s">
        <v>440</v>
      </c>
      <c r="G61" s="11">
        <v>1000</v>
      </c>
      <c r="H61" s="11">
        <v>0.741</v>
      </c>
      <c r="I61" s="11">
        <v>0.72405</v>
      </c>
      <c r="J61" s="11">
        <v>4.199</v>
      </c>
      <c r="K61" s="11">
        <v>4.19805</v>
      </c>
      <c r="L61" s="11">
        <v>3.915233333333334</v>
      </c>
      <c r="M61" s="11" t="s">
        <v>344</v>
      </c>
      <c r="N61" s="11" t="s">
        <v>7</v>
      </c>
      <c r="O61" s="11"/>
    </row>
    <row r="62" spans="1:15">
      <c r="A62" s="12" t="s">
        <v>416</v>
      </c>
      <c r="B62" s="12" t="s">
        <v>425</v>
      </c>
      <c r="C62" s="12" t="s">
        <v>427</v>
      </c>
      <c r="D62" s="12">
        <v>2</v>
      </c>
      <c r="E62" s="12">
        <v>16</v>
      </c>
      <c r="F62" s="12" t="s">
        <v>440</v>
      </c>
      <c r="G62" s="12">
        <v>4000</v>
      </c>
      <c r="H62" s="12">
        <v>16.667</v>
      </c>
      <c r="I62" s="12">
        <v>14.8885</v>
      </c>
      <c r="J62" s="12">
        <v>56.129</v>
      </c>
      <c r="K62" s="12">
        <v>56.1155</v>
      </c>
      <c r="L62" s="12">
        <v>89.05328333333333</v>
      </c>
      <c r="M62" s="12" t="s">
        <v>344</v>
      </c>
      <c r="N62" s="12" t="s">
        <v>7</v>
      </c>
      <c r="O62" s="12"/>
    </row>
    <row r="63" spans="1:15">
      <c r="A63" s="11" t="s">
        <v>417</v>
      </c>
      <c r="B63" s="11" t="s">
        <v>425</v>
      </c>
      <c r="C63" s="11" t="s">
        <v>427</v>
      </c>
      <c r="D63" s="11">
        <v>2</v>
      </c>
      <c r="E63" s="11">
        <v>16</v>
      </c>
      <c r="F63" s="11" t="s">
        <v>440</v>
      </c>
      <c r="G63" s="11">
        <v>4000</v>
      </c>
      <c r="H63" s="11">
        <v>54.016</v>
      </c>
      <c r="I63" s="11">
        <v>53.07905</v>
      </c>
      <c r="J63" s="11">
        <v>17.365</v>
      </c>
      <c r="K63" s="11">
        <v>17.365</v>
      </c>
      <c r="L63" s="11">
        <v>3.266783333333332</v>
      </c>
      <c r="M63" s="11" t="s">
        <v>344</v>
      </c>
      <c r="N63" s="11" t="s">
        <v>7</v>
      </c>
      <c r="O63" s="11"/>
    </row>
    <row r="64" spans="1:15">
      <c r="A64" s="12" t="s">
        <v>418</v>
      </c>
      <c r="B64" s="12" t="s">
        <v>425</v>
      </c>
      <c r="C64" s="12" t="s">
        <v>427</v>
      </c>
      <c r="D64" s="12">
        <v>2</v>
      </c>
      <c r="E64" s="12">
        <v>16</v>
      </c>
      <c r="F64" s="12" t="s">
        <v>440</v>
      </c>
      <c r="G64" s="12">
        <v>4000</v>
      </c>
      <c r="H64" s="12">
        <v>2.979</v>
      </c>
      <c r="I64" s="12">
        <v>2.9259</v>
      </c>
      <c r="J64" s="12">
        <v>7.422</v>
      </c>
      <c r="K64" s="12">
        <v>7.411049999999999</v>
      </c>
      <c r="L64" s="12">
        <v>3.537066666666666</v>
      </c>
      <c r="M64" s="12" t="s">
        <v>344</v>
      </c>
      <c r="N64" s="12" t="s">
        <v>7</v>
      </c>
      <c r="O64" s="12"/>
    </row>
    <row r="65" spans="1:15">
      <c r="A65" s="11" t="s">
        <v>419</v>
      </c>
      <c r="B65" s="11" t="s">
        <v>425</v>
      </c>
      <c r="C65" s="11" t="s">
        <v>439</v>
      </c>
      <c r="D65" s="11">
        <v>4</v>
      </c>
      <c r="E65" s="11">
        <v>32</v>
      </c>
      <c r="F65" s="11" t="s">
        <v>440</v>
      </c>
      <c r="G65" s="11">
        <v>8000</v>
      </c>
      <c r="H65" s="11">
        <v>0.841</v>
      </c>
      <c r="I65" s="11">
        <v>0.6644999999999999</v>
      </c>
      <c r="J65" s="11">
        <v>65.58499999999999</v>
      </c>
      <c r="K65" s="11">
        <v>65.58499999999999</v>
      </c>
      <c r="L65" s="11">
        <v>50.07163333333333</v>
      </c>
      <c r="M65" s="11" t="s">
        <v>344</v>
      </c>
      <c r="N65" s="11" t="s">
        <v>7</v>
      </c>
      <c r="O65" s="11"/>
    </row>
    <row r="66" spans="1:15">
      <c r="A66" s="12" t="s">
        <v>420</v>
      </c>
      <c r="B66" s="12" t="s">
        <v>425</v>
      </c>
      <c r="C66" s="12" t="s">
        <v>433</v>
      </c>
      <c r="D66" s="12">
        <v>2</v>
      </c>
      <c r="E66" s="12">
        <v>4</v>
      </c>
      <c r="F66" s="12" t="s">
        <v>440</v>
      </c>
      <c r="G66" s="12">
        <v>1000</v>
      </c>
      <c r="H66" s="12">
        <v>0.383</v>
      </c>
      <c r="I66" s="12">
        <v>0.358</v>
      </c>
      <c r="J66" s="12">
        <v>4.151</v>
      </c>
      <c r="K66" s="12">
        <v>4.151</v>
      </c>
      <c r="L66" s="12">
        <v>7.877616666666666</v>
      </c>
      <c r="M66" s="12" t="s">
        <v>344</v>
      </c>
      <c r="N66" s="12" t="s">
        <v>7</v>
      </c>
      <c r="O66" s="12"/>
    </row>
    <row r="67" spans="1:15">
      <c r="A67" s="11" t="s">
        <v>421</v>
      </c>
      <c r="B67" s="11" t="s">
        <v>425</v>
      </c>
      <c r="C67" s="11" t="s">
        <v>433</v>
      </c>
      <c r="D67" s="11">
        <v>2</v>
      </c>
      <c r="E67" s="11">
        <v>4</v>
      </c>
      <c r="F67" s="11" t="s">
        <v>440</v>
      </c>
      <c r="G67" s="11">
        <v>1000</v>
      </c>
      <c r="H67" s="11">
        <v>10.624</v>
      </c>
      <c r="I67" s="11">
        <v>10.16625</v>
      </c>
      <c r="J67" s="11">
        <v>8.169</v>
      </c>
      <c r="K67" s="11">
        <v>8.167</v>
      </c>
      <c r="L67" s="11">
        <v>11.30455</v>
      </c>
      <c r="M67" s="11" t="s">
        <v>344</v>
      </c>
      <c r="N67" s="11" t="s">
        <v>7</v>
      </c>
      <c r="O67" s="11"/>
    </row>
    <row r="68" spans="1:15">
      <c r="A68" s="12" t="s">
        <v>422</v>
      </c>
      <c r="B68" s="12" t="s">
        <v>425</v>
      </c>
      <c r="C68" s="12" t="s">
        <v>433</v>
      </c>
      <c r="D68" s="12">
        <v>2</v>
      </c>
      <c r="E68" s="12">
        <v>4</v>
      </c>
      <c r="F68" s="12" t="s">
        <v>440</v>
      </c>
      <c r="G68" s="12">
        <v>1000</v>
      </c>
      <c r="H68" s="12">
        <v>0.466</v>
      </c>
      <c r="I68" s="12">
        <v>0.458</v>
      </c>
      <c r="J68" s="12">
        <v>4.132</v>
      </c>
      <c r="K68" s="12">
        <v>4.132</v>
      </c>
      <c r="L68" s="12">
        <v>3.227716666666667</v>
      </c>
      <c r="M68" s="12" t="s">
        <v>344</v>
      </c>
      <c r="N68" s="12" t="s">
        <v>7</v>
      </c>
      <c r="O68" s="12"/>
    </row>
    <row r="69" spans="1:15">
      <c r="A69" s="11" t="s">
        <v>423</v>
      </c>
      <c r="B69" s="11" t="s">
        <v>425</v>
      </c>
      <c r="C69" s="11" t="s">
        <v>432</v>
      </c>
      <c r="D69" s="11">
        <v>4</v>
      </c>
      <c r="E69" s="11">
        <v>8</v>
      </c>
      <c r="F69" s="11" t="s">
        <v>440</v>
      </c>
      <c r="G69" s="11">
        <v>2000</v>
      </c>
      <c r="H69" s="11">
        <v>0.9409999999999999</v>
      </c>
      <c r="I69" s="11">
        <v>0.8915999999999999</v>
      </c>
      <c r="J69" s="11">
        <v>5.877</v>
      </c>
      <c r="K69" s="11">
        <v>5.877</v>
      </c>
      <c r="L69" s="11">
        <v>2.487466666666667</v>
      </c>
      <c r="M69" s="11" t="s">
        <v>344</v>
      </c>
      <c r="N69" s="11" t="s">
        <v>7</v>
      </c>
      <c r="O69" s="11"/>
    </row>
    <row r="70" spans="1:15">
      <c r="A70" s="12" t="s">
        <v>424</v>
      </c>
      <c r="B70" s="12" t="s">
        <v>425</v>
      </c>
      <c r="C70" s="12" t="s">
        <v>433</v>
      </c>
      <c r="D70" s="12">
        <v>2</v>
      </c>
      <c r="E70" s="12">
        <v>4</v>
      </c>
      <c r="F70" s="12" t="s">
        <v>440</v>
      </c>
      <c r="G70" s="12">
        <v>1000</v>
      </c>
      <c r="H70" s="12">
        <v>24.382</v>
      </c>
      <c r="I70" s="12">
        <v>22.70985</v>
      </c>
      <c r="J70" s="12">
        <v>9.834</v>
      </c>
      <c r="K70" s="12">
        <v>9.83305</v>
      </c>
      <c r="L70" s="12">
        <v>16.62266666666666</v>
      </c>
      <c r="M70" s="12" t="s">
        <v>344</v>
      </c>
      <c r="N70" s="12" t="s">
        <v>7</v>
      </c>
      <c r="O70" s="12"/>
    </row>
  </sheetData>
  <mergeCells count="1">
    <mergeCell ref="A1:N1"/>
  </mergeCells>
  <conditionalFormatting sqref="H3:H70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J3:J70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conditionalFormatting sqref="K3:K70">
    <cfRule type="cellIs" dxfId="0" priority="7" operator="between">
      <formula>0</formula>
      <formula>75</formula>
    </cfRule>
    <cfRule type="cellIs" dxfId="1" priority="8" operator="between">
      <formula>75</formula>
      <formula>89</formula>
    </cfRule>
    <cfRule type="cellIs" dxfId="2" priority="9" operator="between">
      <formula>90</formula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1.7109375" customWidth="1"/>
    <col min="2" max="2" width="15.7109375" customWidth="1"/>
    <col min="3" max="3" width="12.7109375" customWidth="1"/>
    <col min="4" max="4" width="28.7109375" customWidth="1"/>
    <col min="5" max="5" width="27.7109375" customWidth="1"/>
    <col min="6" max="7" width="17.7109375" customWidth="1"/>
    <col min="8" max="11" width="20.7109375" customWidth="1"/>
    <col min="12" max="12" width="13.7109375" customWidth="1"/>
    <col min="13" max="13" width="10.7109375" customWidth="1"/>
    <col min="14" max="14" width="12.7109375" customWidth="1"/>
    <col min="15" max="15" width="19.7109375" customWidth="1"/>
  </cols>
  <sheetData>
    <row r="1" spans="1:15">
      <c r="A1" s="15" t="s">
        <v>491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4" t="s">
        <v>346</v>
      </c>
      <c r="B2" s="4" t="s">
        <v>443</v>
      </c>
      <c r="C2" s="4" t="s">
        <v>444</v>
      </c>
      <c r="D2" s="4" t="s">
        <v>445</v>
      </c>
      <c r="E2" s="4" t="s">
        <v>446</v>
      </c>
      <c r="F2" s="4" t="s">
        <v>447</v>
      </c>
      <c r="G2" s="4" t="s">
        <v>448</v>
      </c>
      <c r="H2" s="4" t="s">
        <v>449</v>
      </c>
      <c r="I2" s="4" t="s">
        <v>450</v>
      </c>
      <c r="J2" s="4" t="s">
        <v>451</v>
      </c>
      <c r="K2" s="4" t="s">
        <v>452</v>
      </c>
      <c r="L2" s="4" t="s">
        <v>453</v>
      </c>
      <c r="M2" s="4" t="s">
        <v>76</v>
      </c>
      <c r="N2" s="4" t="s">
        <v>78</v>
      </c>
      <c r="O2" s="4" t="s">
        <v>79</v>
      </c>
    </row>
    <row r="3" spans="1:15">
      <c r="A3" s="11" t="s">
        <v>454</v>
      </c>
      <c r="B3" s="11" t="s">
        <v>490</v>
      </c>
      <c r="C3" s="11">
        <v>1</v>
      </c>
      <c r="D3" s="11">
        <v>1024</v>
      </c>
      <c r="E3" s="11">
        <v>10000</v>
      </c>
      <c r="F3" s="11">
        <v>0.02</v>
      </c>
      <c r="G3" s="11">
        <v>0.02</v>
      </c>
      <c r="H3" s="11">
        <v>0.089</v>
      </c>
      <c r="I3" s="11">
        <v>0.089</v>
      </c>
      <c r="J3" s="11">
        <v>3.883</v>
      </c>
      <c r="K3" s="11">
        <v>3.882</v>
      </c>
      <c r="L3" s="11" t="e">
        <f>#NUM!</f>
        <v>#NUM!</v>
      </c>
      <c r="M3" s="11"/>
      <c r="N3" s="11" t="s">
        <v>344</v>
      </c>
      <c r="O3" s="11" t="s">
        <v>7</v>
      </c>
    </row>
    <row r="4" spans="1:15">
      <c r="A4" s="12" t="s">
        <v>455</v>
      </c>
      <c r="B4" s="12" t="s">
        <v>490</v>
      </c>
      <c r="C4" s="12">
        <v>32</v>
      </c>
      <c r="D4" s="12">
        <v>32768</v>
      </c>
      <c r="E4" s="12">
        <v>480000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 t="e">
        <f>#NUM!</f>
        <v>#NUM!</v>
      </c>
      <c r="M4" s="12"/>
      <c r="N4" s="12" t="s">
        <v>344</v>
      </c>
      <c r="O4" s="12" t="s">
        <v>7</v>
      </c>
    </row>
    <row r="5" spans="1:15">
      <c r="A5" s="11" t="s">
        <v>454</v>
      </c>
      <c r="B5" s="11" t="s">
        <v>490</v>
      </c>
      <c r="C5" s="11">
        <v>1</v>
      </c>
      <c r="D5" s="11">
        <v>1024</v>
      </c>
      <c r="E5" s="11">
        <v>10000</v>
      </c>
      <c r="F5" s="11">
        <v>0.02</v>
      </c>
      <c r="G5" s="11">
        <v>0.02</v>
      </c>
      <c r="H5" s="11">
        <v>0.107</v>
      </c>
      <c r="I5" s="11">
        <v>0.1011999999999999</v>
      </c>
      <c r="J5" s="11">
        <v>3.884</v>
      </c>
      <c r="K5" s="11">
        <v>3.883</v>
      </c>
      <c r="L5" s="11" t="e">
        <f>#NUM!</f>
        <v>#NUM!</v>
      </c>
      <c r="M5" s="11"/>
      <c r="N5" s="11" t="s">
        <v>344</v>
      </c>
      <c r="O5" s="11" t="s">
        <v>7</v>
      </c>
    </row>
    <row r="6" spans="1:15">
      <c r="A6" s="12" t="s">
        <v>456</v>
      </c>
      <c r="B6" s="12" t="s">
        <v>490</v>
      </c>
      <c r="C6" s="12">
        <v>1</v>
      </c>
      <c r="D6" s="12">
        <v>1024</v>
      </c>
      <c r="E6" s="12">
        <v>10000</v>
      </c>
      <c r="F6" s="12">
        <v>0.02</v>
      </c>
      <c r="G6" s="12">
        <v>0.02</v>
      </c>
      <c r="H6" s="12">
        <v>0.139</v>
      </c>
      <c r="I6" s="12">
        <v>0.1253999999999999</v>
      </c>
      <c r="J6" s="12">
        <v>3.884</v>
      </c>
      <c r="K6" s="12">
        <v>3.883</v>
      </c>
      <c r="L6" s="12" t="e">
        <f>#NUM!</f>
        <v>#NUM!</v>
      </c>
      <c r="M6" s="12"/>
      <c r="N6" s="12" t="s">
        <v>344</v>
      </c>
      <c r="O6" s="12" t="s">
        <v>7</v>
      </c>
    </row>
    <row r="7" spans="1:15">
      <c r="A7" s="11" t="s">
        <v>454</v>
      </c>
      <c r="B7" s="11" t="s">
        <v>490</v>
      </c>
      <c r="C7" s="11">
        <v>1</v>
      </c>
      <c r="D7" s="11">
        <v>1024</v>
      </c>
      <c r="E7" s="11">
        <v>10000</v>
      </c>
      <c r="F7" s="11">
        <v>0.02</v>
      </c>
      <c r="G7" s="11">
        <v>0.02</v>
      </c>
      <c r="H7" s="11">
        <v>0.125</v>
      </c>
      <c r="I7" s="11">
        <v>0.1162</v>
      </c>
      <c r="J7" s="11">
        <v>3.884</v>
      </c>
      <c r="K7" s="11">
        <v>3.883</v>
      </c>
      <c r="L7" s="11" t="e">
        <f>#NUM!</f>
        <v>#NUM!</v>
      </c>
      <c r="M7" s="11"/>
      <c r="N7" s="11" t="s">
        <v>344</v>
      </c>
      <c r="O7" s="11" t="s">
        <v>7</v>
      </c>
    </row>
    <row r="8" spans="1:15">
      <c r="A8" s="12" t="s">
        <v>457</v>
      </c>
      <c r="B8" s="12" t="s">
        <v>490</v>
      </c>
      <c r="C8" s="12">
        <v>32</v>
      </c>
      <c r="D8" s="12">
        <v>32768</v>
      </c>
      <c r="E8" s="12">
        <v>480000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 t="e">
        <f>#NUM!</f>
        <v>#NUM!</v>
      </c>
      <c r="M8" s="12"/>
      <c r="N8" s="12" t="s">
        <v>344</v>
      </c>
      <c r="O8" s="12" t="s">
        <v>7</v>
      </c>
    </row>
    <row r="9" spans="1:15">
      <c r="A9" s="11" t="s">
        <v>458</v>
      </c>
      <c r="B9" s="11" t="s">
        <v>490</v>
      </c>
      <c r="C9" s="11">
        <v>2</v>
      </c>
      <c r="D9" s="11">
        <v>2048</v>
      </c>
      <c r="E9" s="11">
        <v>10000</v>
      </c>
      <c r="F9" s="11">
        <v>1.03</v>
      </c>
      <c r="G9" s="11">
        <v>1.03</v>
      </c>
      <c r="H9" s="11">
        <v>3.633</v>
      </c>
      <c r="I9" s="11">
        <v>3.616</v>
      </c>
      <c r="J9" s="11">
        <v>2.389</v>
      </c>
      <c r="K9" s="11">
        <v>2.388</v>
      </c>
      <c r="L9" s="11" t="s">
        <v>293</v>
      </c>
      <c r="M9" s="11" t="s">
        <v>340</v>
      </c>
      <c r="N9" s="11" t="s">
        <v>344</v>
      </c>
      <c r="O9" s="11" t="s">
        <v>6</v>
      </c>
    </row>
    <row r="10" spans="1:15">
      <c r="A10" s="12" t="s">
        <v>459</v>
      </c>
      <c r="B10" s="12" t="s">
        <v>490</v>
      </c>
      <c r="C10" s="12">
        <v>32</v>
      </c>
      <c r="D10" s="12">
        <v>32768</v>
      </c>
      <c r="E10" s="12">
        <v>500000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 t="s">
        <v>293</v>
      </c>
      <c r="M10" s="12" t="s">
        <v>340</v>
      </c>
      <c r="N10" s="12" t="s">
        <v>344</v>
      </c>
      <c r="O10" s="12" t="s">
        <v>6</v>
      </c>
    </row>
    <row r="11" spans="1:15">
      <c r="A11" s="11" t="s">
        <v>460</v>
      </c>
      <c r="B11" s="11" t="s">
        <v>490</v>
      </c>
      <c r="C11" s="11">
        <v>4</v>
      </c>
      <c r="D11" s="11">
        <v>4096</v>
      </c>
      <c r="E11" s="11">
        <v>10000</v>
      </c>
      <c r="F11" s="11">
        <v>0.02</v>
      </c>
      <c r="G11" s="11">
        <v>0.02</v>
      </c>
      <c r="H11" s="11">
        <v>0.133</v>
      </c>
      <c r="I11" s="11">
        <v>0.1241999999999999</v>
      </c>
      <c r="J11" s="11">
        <v>0.9409999999999999</v>
      </c>
      <c r="K11" s="11">
        <v>0.9409999999999999</v>
      </c>
      <c r="L11" s="11" t="s">
        <v>293</v>
      </c>
      <c r="M11" s="11" t="s">
        <v>340</v>
      </c>
      <c r="N11" s="11" t="s">
        <v>344</v>
      </c>
      <c r="O11" s="11" t="s">
        <v>6</v>
      </c>
    </row>
    <row r="12" spans="1:15">
      <c r="A12" s="12" t="s">
        <v>461</v>
      </c>
      <c r="B12" s="12" t="s">
        <v>490</v>
      </c>
      <c r="C12" s="12">
        <v>4</v>
      </c>
      <c r="D12" s="12">
        <v>4096</v>
      </c>
      <c r="E12" s="12">
        <v>10000</v>
      </c>
      <c r="F12" s="12">
        <v>0.02</v>
      </c>
      <c r="G12" s="12">
        <v>0.02</v>
      </c>
      <c r="H12" s="12">
        <v>0.1</v>
      </c>
      <c r="I12" s="12">
        <v>0.09079999999999989</v>
      </c>
      <c r="J12" s="12">
        <v>0.9419999999999999</v>
      </c>
      <c r="K12" s="12">
        <v>0.9409999999999999</v>
      </c>
      <c r="L12" s="12" t="s">
        <v>293</v>
      </c>
      <c r="M12" s="12" t="s">
        <v>340</v>
      </c>
      <c r="N12" s="12" t="s">
        <v>344</v>
      </c>
      <c r="O12" s="12" t="s">
        <v>6</v>
      </c>
    </row>
    <row r="13" spans="1:15">
      <c r="A13" s="11" t="s">
        <v>462</v>
      </c>
      <c r="B13" s="11" t="s">
        <v>490</v>
      </c>
      <c r="C13" s="11">
        <v>512</v>
      </c>
      <c r="D13" s="11">
        <v>524288</v>
      </c>
      <c r="E13" s="11">
        <v>500000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 t="s">
        <v>293</v>
      </c>
      <c r="M13" s="11" t="s">
        <v>340</v>
      </c>
      <c r="N13" s="11" t="s">
        <v>344</v>
      </c>
      <c r="O13" s="11" t="s">
        <v>6</v>
      </c>
    </row>
    <row r="14" spans="1:15">
      <c r="A14" s="12" t="s">
        <v>463</v>
      </c>
      <c r="B14" s="12" t="s">
        <v>490</v>
      </c>
      <c r="C14" s="12">
        <v>2</v>
      </c>
      <c r="D14" s="12">
        <v>2048</v>
      </c>
      <c r="E14" s="12">
        <v>10000</v>
      </c>
      <c r="F14" s="12">
        <v>0.09</v>
      </c>
      <c r="G14" s="12">
        <v>0.09</v>
      </c>
      <c r="H14" s="12">
        <v>0.134</v>
      </c>
      <c r="I14" s="12">
        <v>0.133</v>
      </c>
      <c r="J14" s="12">
        <v>4.707</v>
      </c>
      <c r="K14" s="12">
        <v>4.705</v>
      </c>
      <c r="L14" s="12" t="s">
        <v>293</v>
      </c>
      <c r="M14" s="12" t="s">
        <v>340</v>
      </c>
      <c r="N14" s="12" t="s">
        <v>344</v>
      </c>
      <c r="O14" s="12" t="s">
        <v>6</v>
      </c>
    </row>
    <row r="15" spans="1:15">
      <c r="A15" s="11" t="s">
        <v>464</v>
      </c>
      <c r="B15" s="11" t="s">
        <v>490</v>
      </c>
      <c r="C15" s="11">
        <v>1</v>
      </c>
      <c r="D15" s="11">
        <v>1024</v>
      </c>
      <c r="E15" s="11">
        <v>10000</v>
      </c>
      <c r="F15" s="11">
        <v>0.58</v>
      </c>
      <c r="G15" s="11">
        <v>0.58</v>
      </c>
      <c r="H15" s="11">
        <v>1.076</v>
      </c>
      <c r="I15" s="11">
        <v>1.053</v>
      </c>
      <c r="J15" s="11">
        <v>4.554</v>
      </c>
      <c r="K15" s="11">
        <v>4.552</v>
      </c>
      <c r="L15" s="11" t="s">
        <v>293</v>
      </c>
      <c r="M15" s="11" t="s">
        <v>340</v>
      </c>
      <c r="N15" s="11" t="s">
        <v>344</v>
      </c>
      <c r="O15" s="11" t="s">
        <v>6</v>
      </c>
    </row>
    <row r="16" spans="1:15">
      <c r="A16" s="12" t="s">
        <v>465</v>
      </c>
      <c r="B16" s="12" t="s">
        <v>490</v>
      </c>
      <c r="C16" s="12">
        <v>16</v>
      </c>
      <c r="D16" s="12">
        <v>16384</v>
      </c>
      <c r="E16" s="12">
        <v>480000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 t="s">
        <v>293</v>
      </c>
      <c r="M16" s="12" t="s">
        <v>340</v>
      </c>
      <c r="N16" s="12" t="s">
        <v>344</v>
      </c>
      <c r="O16" s="12" t="s">
        <v>6</v>
      </c>
    </row>
    <row r="17" spans="1:15">
      <c r="A17" s="11" t="s">
        <v>466</v>
      </c>
      <c r="B17" s="11" t="s">
        <v>490</v>
      </c>
      <c r="C17" s="11">
        <v>1</v>
      </c>
      <c r="D17" s="11">
        <v>1024</v>
      </c>
      <c r="E17" s="11">
        <v>10000</v>
      </c>
      <c r="F17" s="11">
        <v>0.02</v>
      </c>
      <c r="G17" s="11">
        <v>0.02</v>
      </c>
      <c r="H17" s="11">
        <v>0.142</v>
      </c>
      <c r="I17" s="11">
        <v>0.1347999999999999</v>
      </c>
      <c r="J17" s="11">
        <v>3.768</v>
      </c>
      <c r="K17" s="11">
        <v>3.766</v>
      </c>
      <c r="L17" s="11" t="s">
        <v>293</v>
      </c>
      <c r="M17" s="11" t="s">
        <v>340</v>
      </c>
      <c r="N17" s="11" t="s">
        <v>344</v>
      </c>
      <c r="O17" s="11" t="s">
        <v>6</v>
      </c>
    </row>
    <row r="18" spans="1:15">
      <c r="A18" s="12" t="s">
        <v>467</v>
      </c>
      <c r="B18" s="12" t="s">
        <v>490</v>
      </c>
      <c r="C18" s="12">
        <v>16</v>
      </c>
      <c r="D18" s="12">
        <v>16384</v>
      </c>
      <c r="E18" s="12">
        <v>500000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 t="s">
        <v>293</v>
      </c>
      <c r="M18" s="12" t="s">
        <v>340</v>
      </c>
      <c r="N18" s="12" t="s">
        <v>344</v>
      </c>
      <c r="O18" s="12" t="s">
        <v>6</v>
      </c>
    </row>
    <row r="19" spans="1:15">
      <c r="A19" s="11" t="s">
        <v>468</v>
      </c>
      <c r="B19" s="11" t="s">
        <v>490</v>
      </c>
      <c r="C19" s="11">
        <v>512</v>
      </c>
      <c r="D19" s="11">
        <v>524288</v>
      </c>
      <c r="E19" s="11">
        <v>500000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 t="s">
        <v>293</v>
      </c>
      <c r="M19" s="11" t="s">
        <v>340</v>
      </c>
      <c r="N19" s="11" t="s">
        <v>344</v>
      </c>
      <c r="O19" s="11" t="s">
        <v>6</v>
      </c>
    </row>
    <row r="20" spans="1:15">
      <c r="A20" s="12" t="s">
        <v>469</v>
      </c>
      <c r="B20" s="12" t="s">
        <v>490</v>
      </c>
      <c r="C20" s="12">
        <v>32</v>
      </c>
      <c r="D20" s="12">
        <v>32768</v>
      </c>
      <c r="E20" s="12">
        <v>480000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 t="s">
        <v>293</v>
      </c>
      <c r="M20" s="12" t="s">
        <v>340</v>
      </c>
      <c r="N20" s="12" t="s">
        <v>344</v>
      </c>
      <c r="O20" s="12" t="s">
        <v>6</v>
      </c>
    </row>
    <row r="21" spans="1:15">
      <c r="A21" s="11" t="s">
        <v>470</v>
      </c>
      <c r="B21" s="11" t="s">
        <v>490</v>
      </c>
      <c r="C21" s="11">
        <v>1</v>
      </c>
      <c r="D21" s="11">
        <v>1024</v>
      </c>
      <c r="E21" s="11">
        <v>10000</v>
      </c>
      <c r="F21" s="11">
        <v>0.04</v>
      </c>
      <c r="G21" s="11">
        <v>0.04</v>
      </c>
      <c r="H21" s="11">
        <v>0.178</v>
      </c>
      <c r="I21" s="11">
        <v>0.1679</v>
      </c>
      <c r="J21" s="11">
        <v>6.179</v>
      </c>
      <c r="K21" s="11">
        <v>6.178</v>
      </c>
      <c r="L21" s="11" t="s">
        <v>293</v>
      </c>
      <c r="M21" s="11" t="s">
        <v>340</v>
      </c>
      <c r="N21" s="11" t="s">
        <v>344</v>
      </c>
      <c r="O21" s="11" t="s">
        <v>6</v>
      </c>
    </row>
    <row r="22" spans="1:15">
      <c r="A22" s="12" t="s">
        <v>471</v>
      </c>
      <c r="B22" s="12" t="s">
        <v>490</v>
      </c>
      <c r="C22" s="12">
        <v>256</v>
      </c>
      <c r="D22" s="12">
        <v>262144</v>
      </c>
      <c r="E22" s="12">
        <v>500000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 t="s">
        <v>293</v>
      </c>
      <c r="M22" s="12" t="s">
        <v>340</v>
      </c>
      <c r="N22" s="12" t="s">
        <v>344</v>
      </c>
      <c r="O22" s="12" t="s">
        <v>6</v>
      </c>
    </row>
    <row r="23" spans="1:15">
      <c r="A23" s="11" t="s">
        <v>472</v>
      </c>
      <c r="B23" s="11" t="s">
        <v>490</v>
      </c>
      <c r="C23" s="11">
        <v>1</v>
      </c>
      <c r="D23" s="11">
        <v>1024</v>
      </c>
      <c r="E23" s="11">
        <v>10000</v>
      </c>
      <c r="F23" s="11">
        <v>1.14</v>
      </c>
      <c r="G23" s="11">
        <v>1.14</v>
      </c>
      <c r="H23" s="11">
        <v>0.18</v>
      </c>
      <c r="I23" s="11">
        <v>0.178</v>
      </c>
      <c r="J23" s="11">
        <v>3.986</v>
      </c>
      <c r="K23" s="11">
        <v>3.986</v>
      </c>
      <c r="L23" s="11" t="s">
        <v>293</v>
      </c>
      <c r="M23" s="11" t="s">
        <v>340</v>
      </c>
      <c r="N23" s="11" t="s">
        <v>344</v>
      </c>
      <c r="O23" s="11" t="s">
        <v>6</v>
      </c>
    </row>
    <row r="24" spans="1:15">
      <c r="A24" s="12" t="s">
        <v>473</v>
      </c>
      <c r="B24" s="12" t="s">
        <v>490</v>
      </c>
      <c r="C24" s="12">
        <v>2</v>
      </c>
      <c r="D24" s="12">
        <v>2048</v>
      </c>
      <c r="E24" s="12">
        <v>10000</v>
      </c>
      <c r="F24" s="12">
        <v>0.07000000000000001</v>
      </c>
      <c r="G24" s="12">
        <v>0.07000000000000001</v>
      </c>
      <c r="H24" s="12">
        <v>0.15</v>
      </c>
      <c r="I24" s="12">
        <v>0.142</v>
      </c>
      <c r="J24" s="12">
        <v>1.896</v>
      </c>
      <c r="K24" s="12">
        <v>1.8952</v>
      </c>
      <c r="L24" s="12" t="s">
        <v>293</v>
      </c>
      <c r="M24" s="12" t="s">
        <v>340</v>
      </c>
      <c r="N24" s="12" t="s">
        <v>344</v>
      </c>
      <c r="O24" s="12" t="s">
        <v>6</v>
      </c>
    </row>
    <row r="25" spans="1:15">
      <c r="A25" s="11" t="s">
        <v>474</v>
      </c>
      <c r="B25" s="11" t="s">
        <v>490</v>
      </c>
      <c r="C25" s="11">
        <v>4</v>
      </c>
      <c r="D25" s="11">
        <v>4096</v>
      </c>
      <c r="E25" s="11">
        <v>10000</v>
      </c>
      <c r="F25" s="11">
        <v>0.01</v>
      </c>
      <c r="G25" s="11">
        <v>0.01</v>
      </c>
      <c r="H25" s="11">
        <v>0.129</v>
      </c>
      <c r="I25" s="11">
        <v>0.1241999999999999</v>
      </c>
      <c r="J25" s="11">
        <v>0.9409999999999999</v>
      </c>
      <c r="K25" s="11">
        <v>0.9409999999999999</v>
      </c>
      <c r="L25" s="11" t="s">
        <v>293</v>
      </c>
      <c r="M25" s="11" t="s">
        <v>340</v>
      </c>
      <c r="N25" s="11" t="s">
        <v>344</v>
      </c>
      <c r="O25" s="11" t="s">
        <v>6</v>
      </c>
    </row>
    <row r="26" spans="1:15">
      <c r="A26" s="12" t="s">
        <v>475</v>
      </c>
      <c r="B26" s="12" t="s">
        <v>490</v>
      </c>
      <c r="C26" s="12">
        <v>16</v>
      </c>
      <c r="D26" s="12">
        <v>16384</v>
      </c>
      <c r="E26" s="12">
        <v>480000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 t="s">
        <v>293</v>
      </c>
      <c r="M26" s="12" t="s">
        <v>340</v>
      </c>
      <c r="N26" s="12" t="s">
        <v>344</v>
      </c>
      <c r="O26" s="12" t="s">
        <v>6</v>
      </c>
    </row>
    <row r="27" spans="1:15">
      <c r="A27" s="11" t="s">
        <v>476</v>
      </c>
      <c r="B27" s="11" t="s">
        <v>490</v>
      </c>
      <c r="C27" s="11">
        <v>32</v>
      </c>
      <c r="D27" s="11">
        <v>32768</v>
      </c>
      <c r="E27" s="11">
        <v>500000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 t="s">
        <v>293</v>
      </c>
      <c r="M27" s="11" t="s">
        <v>340</v>
      </c>
      <c r="N27" s="11" t="s">
        <v>344</v>
      </c>
      <c r="O27" s="11" t="s">
        <v>6</v>
      </c>
    </row>
    <row r="28" spans="1:15">
      <c r="A28" s="12" t="s">
        <v>477</v>
      </c>
      <c r="B28" s="12" t="s">
        <v>490</v>
      </c>
      <c r="C28" s="12">
        <v>32</v>
      </c>
      <c r="D28" s="12">
        <v>32768</v>
      </c>
      <c r="E28" s="12">
        <v>500000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 t="s">
        <v>293</v>
      </c>
      <c r="M28" s="12" t="s">
        <v>340</v>
      </c>
      <c r="N28" s="12" t="s">
        <v>344</v>
      </c>
      <c r="O28" s="12" t="s">
        <v>6</v>
      </c>
    </row>
    <row r="29" spans="1:15">
      <c r="A29" s="11" t="s">
        <v>478</v>
      </c>
      <c r="B29" s="11" t="s">
        <v>490</v>
      </c>
      <c r="C29" s="11">
        <v>2</v>
      </c>
      <c r="D29" s="11">
        <v>2048</v>
      </c>
      <c r="E29" s="11">
        <v>10000</v>
      </c>
      <c r="F29" s="11">
        <v>1.62</v>
      </c>
      <c r="G29" s="11">
        <v>1.62</v>
      </c>
      <c r="H29" s="11">
        <v>0.233</v>
      </c>
      <c r="I29" s="11">
        <v>0.2162</v>
      </c>
      <c r="J29" s="11">
        <v>2.101</v>
      </c>
      <c r="K29" s="11">
        <v>2.099</v>
      </c>
      <c r="L29" s="11" t="s">
        <v>293</v>
      </c>
      <c r="M29" s="11" t="s">
        <v>340</v>
      </c>
      <c r="N29" s="11" t="s">
        <v>344</v>
      </c>
      <c r="O29" s="11" t="s">
        <v>6</v>
      </c>
    </row>
    <row r="30" spans="1:15">
      <c r="A30" s="12" t="s">
        <v>479</v>
      </c>
      <c r="B30" s="12" t="s">
        <v>490</v>
      </c>
      <c r="C30" s="12">
        <v>1</v>
      </c>
      <c r="D30" s="12">
        <v>1024</v>
      </c>
      <c r="E30" s="12">
        <v>10000</v>
      </c>
      <c r="F30" s="12">
        <v>0.14</v>
      </c>
      <c r="G30" s="12">
        <v>0.139</v>
      </c>
      <c r="H30" s="12">
        <v>0.172</v>
      </c>
      <c r="I30" s="12">
        <v>0.16</v>
      </c>
      <c r="J30" s="12">
        <v>3.793</v>
      </c>
      <c r="K30" s="12">
        <v>3.793</v>
      </c>
      <c r="L30" s="12" t="s">
        <v>293</v>
      </c>
      <c r="M30" s="12" t="s">
        <v>340</v>
      </c>
      <c r="N30" s="12" t="s">
        <v>344</v>
      </c>
      <c r="O30" s="12" t="s">
        <v>6</v>
      </c>
    </row>
    <row r="31" spans="1:15">
      <c r="A31" s="11" t="s">
        <v>480</v>
      </c>
      <c r="B31" s="11" t="s">
        <v>490</v>
      </c>
      <c r="C31" s="11">
        <v>2</v>
      </c>
      <c r="D31" s="11">
        <v>2048</v>
      </c>
      <c r="E31" s="11">
        <v>10000</v>
      </c>
      <c r="F31" s="11">
        <v>0.05</v>
      </c>
      <c r="G31" s="11">
        <v>0.05</v>
      </c>
      <c r="H31" s="11">
        <v>0.135</v>
      </c>
      <c r="I31" s="11">
        <v>0.1271999999999999</v>
      </c>
      <c r="J31" s="11">
        <v>1.888</v>
      </c>
      <c r="K31" s="11">
        <v>1.887</v>
      </c>
      <c r="L31" s="11" t="s">
        <v>293</v>
      </c>
      <c r="M31" s="11" t="s">
        <v>340</v>
      </c>
      <c r="N31" s="11" t="s">
        <v>344</v>
      </c>
      <c r="O31" s="11" t="s">
        <v>6</v>
      </c>
    </row>
    <row r="32" spans="1:15">
      <c r="A32" s="12" t="s">
        <v>481</v>
      </c>
      <c r="B32" s="12" t="s">
        <v>490</v>
      </c>
      <c r="C32" s="12">
        <v>16</v>
      </c>
      <c r="D32" s="12">
        <v>16384</v>
      </c>
      <c r="E32" s="12">
        <v>480000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 t="s">
        <v>293</v>
      </c>
      <c r="M32" s="12" t="s">
        <v>340</v>
      </c>
      <c r="N32" s="12" t="s">
        <v>344</v>
      </c>
      <c r="O32" s="12" t="s">
        <v>6</v>
      </c>
    </row>
    <row r="33" spans="1:15">
      <c r="A33" s="11" t="s">
        <v>482</v>
      </c>
      <c r="B33" s="11" t="s">
        <v>490</v>
      </c>
      <c r="C33" s="11">
        <v>2</v>
      </c>
      <c r="D33" s="11">
        <v>2048</v>
      </c>
      <c r="E33" s="11">
        <v>10000</v>
      </c>
      <c r="F33" s="11">
        <v>0.98</v>
      </c>
      <c r="G33" s="11">
        <v>0.98</v>
      </c>
      <c r="H33" s="11">
        <v>0.178</v>
      </c>
      <c r="I33" s="11">
        <v>0.173</v>
      </c>
      <c r="J33" s="11">
        <v>1.978</v>
      </c>
      <c r="K33" s="11">
        <v>1.978</v>
      </c>
      <c r="L33" s="11" t="s">
        <v>293</v>
      </c>
      <c r="M33" s="11" t="s">
        <v>340</v>
      </c>
      <c r="N33" s="11" t="s">
        <v>344</v>
      </c>
      <c r="O33" s="11" t="s">
        <v>6</v>
      </c>
    </row>
    <row r="34" spans="1:15">
      <c r="A34" s="12" t="s">
        <v>483</v>
      </c>
      <c r="B34" s="12" t="s">
        <v>490</v>
      </c>
      <c r="C34" s="12">
        <v>128</v>
      </c>
      <c r="D34" s="12">
        <v>131072</v>
      </c>
      <c r="E34" s="12">
        <v>500000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 t="s">
        <v>293</v>
      </c>
      <c r="M34" s="12" t="s">
        <v>340</v>
      </c>
      <c r="N34" s="12" t="s">
        <v>344</v>
      </c>
      <c r="O34" s="12" t="s">
        <v>6</v>
      </c>
    </row>
    <row r="35" spans="1:15">
      <c r="A35" s="11" t="s">
        <v>484</v>
      </c>
      <c r="B35" s="11" t="s">
        <v>490</v>
      </c>
      <c r="C35" s="11">
        <v>4</v>
      </c>
      <c r="D35" s="11">
        <v>4096</v>
      </c>
      <c r="E35" s="11">
        <v>10000</v>
      </c>
      <c r="F35" s="11">
        <v>2.23</v>
      </c>
      <c r="G35" s="11">
        <v>2.23</v>
      </c>
      <c r="H35" s="11">
        <v>76.253</v>
      </c>
      <c r="I35" s="11">
        <v>75.9447</v>
      </c>
      <c r="J35" s="11">
        <v>22.917</v>
      </c>
      <c r="K35" s="11">
        <v>22.8868</v>
      </c>
      <c r="L35" s="11" t="s">
        <v>293</v>
      </c>
      <c r="M35" s="11" t="s">
        <v>340</v>
      </c>
      <c r="N35" s="11" t="s">
        <v>344</v>
      </c>
      <c r="O35" s="11" t="s">
        <v>6</v>
      </c>
    </row>
    <row r="36" spans="1:15">
      <c r="A36" s="12" t="s">
        <v>485</v>
      </c>
      <c r="B36" s="12" t="s">
        <v>490</v>
      </c>
      <c r="C36" s="12">
        <v>16</v>
      </c>
      <c r="D36" s="12">
        <v>16384</v>
      </c>
      <c r="E36" s="12">
        <v>500000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 t="s">
        <v>293</v>
      </c>
      <c r="M36" s="12" t="s">
        <v>340</v>
      </c>
      <c r="N36" s="12" t="s">
        <v>344</v>
      </c>
      <c r="O36" s="12" t="s">
        <v>6</v>
      </c>
    </row>
    <row r="37" spans="1:15">
      <c r="A37" s="11" t="s">
        <v>486</v>
      </c>
      <c r="B37" s="11" t="s">
        <v>490</v>
      </c>
      <c r="C37" s="11">
        <v>128</v>
      </c>
      <c r="D37" s="11">
        <v>131072</v>
      </c>
      <c r="E37" s="11">
        <v>500000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 t="s">
        <v>293</v>
      </c>
      <c r="M37" s="11" t="s">
        <v>340</v>
      </c>
      <c r="N37" s="11" t="s">
        <v>344</v>
      </c>
      <c r="O37" s="11" t="s">
        <v>6</v>
      </c>
    </row>
    <row r="38" spans="1:15">
      <c r="A38" s="12" t="s">
        <v>487</v>
      </c>
      <c r="B38" s="12" t="s">
        <v>490</v>
      </c>
      <c r="C38" s="12">
        <v>2</v>
      </c>
      <c r="D38" s="12">
        <v>2048</v>
      </c>
      <c r="E38" s="12">
        <v>10000</v>
      </c>
      <c r="F38" s="12">
        <v>3.48</v>
      </c>
      <c r="G38" s="12">
        <v>3.48</v>
      </c>
      <c r="H38" s="12">
        <v>0.16</v>
      </c>
      <c r="I38" s="12">
        <v>0.1505999999999999</v>
      </c>
      <c r="J38" s="12">
        <v>2.223</v>
      </c>
      <c r="K38" s="12">
        <v>2.223</v>
      </c>
      <c r="L38" s="12" t="s">
        <v>293</v>
      </c>
      <c r="M38" s="12" t="s">
        <v>340</v>
      </c>
      <c r="N38" s="12" t="s">
        <v>344</v>
      </c>
      <c r="O38" s="12" t="s">
        <v>6</v>
      </c>
    </row>
    <row r="39" spans="1:15">
      <c r="A39" s="11" t="s">
        <v>488</v>
      </c>
      <c r="B39" s="11" t="s">
        <v>490</v>
      </c>
      <c r="C39" s="11">
        <v>2</v>
      </c>
      <c r="D39" s="11">
        <v>2048</v>
      </c>
      <c r="E39" s="11">
        <v>10000</v>
      </c>
      <c r="F39" s="11">
        <v>0.251</v>
      </c>
      <c r="G39" s="11">
        <v>0.251</v>
      </c>
      <c r="H39" s="11">
        <v>0.307</v>
      </c>
      <c r="I39" s="11">
        <v>0.26845</v>
      </c>
      <c r="J39" s="11">
        <v>1.938</v>
      </c>
      <c r="K39" s="11">
        <v>1.938</v>
      </c>
      <c r="L39" s="11" t="s">
        <v>293</v>
      </c>
      <c r="M39" s="11" t="s">
        <v>340</v>
      </c>
      <c r="N39" s="11" t="s">
        <v>344</v>
      </c>
      <c r="O39" s="11" t="s">
        <v>6</v>
      </c>
    </row>
    <row r="40" spans="1:15">
      <c r="A40" s="12" t="s">
        <v>489</v>
      </c>
      <c r="B40" s="12" t="s">
        <v>490</v>
      </c>
      <c r="C40" s="12">
        <v>2</v>
      </c>
      <c r="D40" s="12">
        <v>2048</v>
      </c>
      <c r="E40" s="12">
        <v>10000</v>
      </c>
      <c r="F40" s="12">
        <v>0.01</v>
      </c>
      <c r="G40" s="12">
        <v>0.01</v>
      </c>
      <c r="H40" s="12">
        <v>0.134</v>
      </c>
      <c r="I40" s="12">
        <v>0.125</v>
      </c>
      <c r="J40" s="12">
        <v>1.885</v>
      </c>
      <c r="K40" s="12">
        <v>1.884</v>
      </c>
      <c r="L40" s="12" t="e">
        <f>#NUM!</f>
        <v>#NUM!</v>
      </c>
      <c r="M40" s="12"/>
      <c r="N40" s="12" t="s">
        <v>344</v>
      </c>
      <c r="O40" s="12" t="s">
        <v>7</v>
      </c>
    </row>
  </sheetData>
  <mergeCells count="1">
    <mergeCell ref="A1:O1"/>
  </mergeCells>
  <conditionalFormatting sqref="I3:I40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K3:K40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RDS-Cache Metrics</vt:lpstr>
      <vt:lpstr>ECS</vt:lpstr>
      <vt:lpstr>RDS</vt:lpstr>
      <vt:lpstr>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2025-12-02T07:40:03Z</dcterms:created>
  <dcterms:modified xsi:type="dcterms:W3CDTF">2025-12-02T07:40:03Z</dcterms:modified>
</cp:coreProperties>
</file>